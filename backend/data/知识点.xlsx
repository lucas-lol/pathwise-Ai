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编程快闪\backend\data\"/>
    </mc:Choice>
  </mc:AlternateContent>
  <xr:revisionPtr revIDLastSave="0" documentId="8_{3B59BB9B-6671-4454-BAF3-CE1F92FF0117}" xr6:coauthVersionLast="47" xr6:coauthVersionMax="47" xr10:uidLastSave="{00000000-0000-0000-0000-000000000000}"/>
  <bookViews>
    <workbookView xWindow="-110" yWindow="-110" windowWidth="19420" windowHeight="10300" activeTab="1" xr2:uid="{80D718AF-0A8C-41E0-8E9F-6C5295577FA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2" i="2" l="1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AG4" i="2"/>
  <c r="AG5" i="2"/>
  <c r="AG6" i="2"/>
  <c r="AG7" i="2"/>
  <c r="AG8" i="2"/>
  <c r="AG9" i="2"/>
  <c r="AG10" i="2"/>
  <c r="AG11" i="2"/>
  <c r="AG3" i="2"/>
  <c r="W3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7" i="2"/>
  <c r="W8" i="2"/>
  <c r="W9" i="2"/>
  <c r="W10" i="2"/>
  <c r="W11" i="2"/>
  <c r="W12" i="2"/>
  <c r="W13" i="2"/>
  <c r="W14" i="2"/>
  <c r="W15" i="2"/>
  <c r="W16" i="2"/>
  <c r="W5" i="2"/>
  <c r="W6" i="2"/>
  <c r="W4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16" i="2"/>
  <c r="C15" i="2"/>
  <c r="C13" i="2"/>
  <c r="C14" i="2"/>
  <c r="C12" i="2"/>
  <c r="C11" i="2"/>
  <c r="C10" i="2"/>
  <c r="C9" i="2"/>
  <c r="C8" i="2"/>
  <c r="C7" i="2"/>
  <c r="C6" i="2"/>
  <c r="C4" i="2"/>
  <c r="C5" i="2"/>
  <c r="C3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3" i="2"/>
  <c r="M4" i="2"/>
</calcChain>
</file>

<file path=xl/sharedStrings.xml><?xml version="1.0" encoding="utf-8"?>
<sst xmlns="http://schemas.openxmlformats.org/spreadsheetml/2006/main" count="1390" uniqueCount="706">
  <si>
    <t>| 课本章节 | 知识点 | 所属 | 重要度 | 难易度 | 核心公式/要点 |</t>
  </si>
  <si>
    <t>|---|---|---|---|---|---|</t>
  </si>
  <si>
    <t>| 1.1 | 完整数与自然数的概念 | 算术→数论 | ★★★ | ★★ | 自然数含0？整数含负整数 |</t>
  </si>
  <si>
    <t>| 1.2 | 完整数的四则运算 | 算术 | ★★★★ | ★★ | \(a+b=b+a,\ (a+b)c=ac+bc\) |</t>
  </si>
  <si>
    <t>| 1.3 | 四则运算三大定律 | 算术 | ★★★★ | ★★ | 交换律、结合律、分配律 |</t>
  </si>
  <si>
    <t>| 1.4 | 应用问题 | 算术→应用 | ★★★★ | ★★★ | 列式解实际数量关系 |</t>
  </si>
  <si>
    <t>| 2.1 | 奇数与偶数 | 数论 | ★★★ | ★ | \(2n,2n+1\) |</t>
  </si>
  <si>
    <t>| 2.2 | 因数与倍数 | 数论 | ★★★★ | ★★ | \(a=bc\Rightarrow b,c\) 是因数 |</t>
  </si>
  <si>
    <t>| 2.3 | 质数与合数 | 数论 | ★★★★ | ★★ | 质数只有1和本身 |</t>
  </si>
  <si>
    <t>| 2.4 | 质因数 | 数论 | ★★★★ | ★★★ | 分解质因数：\(60=2^2\cdot3\cdot5\) |</t>
  </si>
  <si>
    <t>| 2.5 | 公因数与最大公因数 | 数论 | ★★★★ | ★★★ | \(\gcd(a,b)\) |</t>
  </si>
  <si>
    <t>| 2.6 | 公倍数与最小公倍数 | 数论 | ★★★★ | ★★★ | \(\operatorname{lcm}(a,b)\) |</t>
  </si>
  <si>
    <t>| 2.7 | 最大公因数与最小公倍数的应用 | 数论→应用 | ★★★★ | ★★★ | \(\gcd(a,b)\times\operatorname{lcm}(a,b)=ab\) |</t>
  </si>
  <si>
    <t>| 2.8 | 自然数的可除性 | 数论 | ★★★ | ★★★ | 2、3、5、9、11的整除判定 |</t>
  </si>
  <si>
    <t>| 3.1 | 正整数与负整数 | 数论/代数 | ★★★★ | ★★ | 数轴表示正负 |</t>
  </si>
  <si>
    <t>| 3.2 | 整数的四则运算 | 代数 | ★★★★ | ★★ | 同号相加、异号相减 |</t>
  </si>
  <si>
    <t>| 3.3 | 整数的混合运算 | 代数 | ★★★★ | ★★★ | 先乘除后加减，括号优先 |</t>
  </si>
  <si>
    <t>| 3.4 | 相反数与绝对值 | 代数 | ★★★★ | ★★ | \(a+(-a)=0,\ |-a|=|a|\) |</t>
  </si>
  <si>
    <t>| 3.5 | 数列 | 代数 | ★★★ | ★★★ | 找规律：\(a_n\) 与 \(n\) 关系 |</t>
  </si>
  <si>
    <t>| 4.1 | 分数的概念与基本性质 | 算术 | ★★★★★ | ★★ | \(\frac ab=\frac{a\times k}{b\times k}\) |</t>
  </si>
  <si>
    <t>| 4.2 | 分数的比较 | 算术 | ★★★★ | ★★ | 通分后比分子 |</t>
  </si>
  <si>
    <t>| 4.3 | 分数的种类 | 算术 | ★★★ | ★ | 真分数、假分数、带分数 |</t>
  </si>
  <si>
    <t>| 4.4 | 分数的加减法 | 算术 | ★★★★★ | ★★★ | \(\frac ab\pm\frac cd=\frac{ad\pm bc}{bd}\) |</t>
  </si>
  <si>
    <t>| 4.5 | 分数的乘除法 | 算术 | ★★★★★ | ★★★ | \(\frac ab\times\frac cd=\frac{ac}{bd}\) |</t>
  </si>
  <si>
    <t>| 4.6 | 分数的混合运算 | 算术 | ★★★★★ | ★★★ | 先乘除后加减 |</t>
  </si>
  <si>
    <t>| 4.7 | 繁分数 | 算术 | ★★★ | ★★★ | 分子分母含分数，逐步化简 |</t>
  </si>
  <si>
    <t>| 4.8 | 应用问题 | 算术→应用 | ★★★★ | ★★★ | 分数应用题：单位“1” |</t>
  </si>
  <si>
    <t>| 5.1 | 小数的概念 | 算术 | ★★★ | ★ | 十分位、百分位 |</t>
  </si>
  <si>
    <t>| 5.2 | 小数的四则运算 | 算术 | ★★★★ | ★★ | 小数点对齐 |</t>
  </si>
  <si>
    <t>| 5.3 | 循环小数 | 算术 | ★★★ | ★★★ | \(0.\overline{3}=\frac13\) |</t>
  </si>
  <si>
    <t>| 5.4 | 近似值 | 算术 | ★★★★ | ★★ | 四舍五入 |</t>
  </si>
  <si>
    <t>| 5.5 | 小数的应用问题 | 算术→应用 | ★★★★ | ★★★ | 单位换算、取近似 |</t>
  </si>
  <si>
    <t>| 6.1 | 长度单位 | 度量 | ★★★ | ★ | \(1\text{ km}=1000\text{ m}\) |</t>
  </si>
  <si>
    <t>| 6.2 | 质量单位 | 度量 | ★★★ | ★ | \(1\text{ kg}=1000\text{ g}\) |</t>
  </si>
  <si>
    <t>| 6.3 | 容量单位 | 度量 | ★★★ | ★ | \(1\text{ L}=1000\text{ mL}\) |</t>
  </si>
  <si>
    <t>| 6.4 | 时间单位 | 度量 | ★★★ | ★ | \(1\text{ h}=60\text{ min}\) |</t>
  </si>
  <si>
    <t>| 7.1 | 百分数的概念 | 算术 | ★★★★★ | ★★ | \(p\%=\frac p{100}\) |</t>
  </si>
  <si>
    <t>| 7.2 | 应用问题 | 算术→应用 | ★★★★★ | ★★★ | 百分数 \(=\frac{部分}{全体}\times100\%\) |</t>
  </si>
  <si>
    <t>| 8.1 | 十进制 | 数论/计算机 | ★★★ | ★ | 满十进一 |</t>
  </si>
  <si>
    <t>| 8.2 | 二进制 | 数论/计算机 | ★★★ | ★★★ | 二进制转十进制：\(\sum a_i2^i\) |</t>
  </si>
  <si>
    <t>| 8.3 | 二进数的运算 | 数论/计算机 | ★★ | ★★★ | 二进制加减乘 |</t>
  </si>
  <si>
    <t>| 8.4 | 八进制 | 数论/计算机 | ★★ | ★★★ | 八进制转十进制 |</t>
  </si>
  <si>
    <t>| 9.1 | 代数式 | 代数 | ★★★★ | ★★ | 用字母表示数 |</t>
  </si>
  <si>
    <t>| 9.2 | 代数式的值 | 代数 | ★★★★ | ★★ | 代入求值 |</t>
  </si>
  <si>
    <t>| 9.3 | 代数式的加、减法 | 代数 | ★★★★ | ★★ | 合并同类项 |</t>
  </si>
  <si>
    <t>| 9.4 | 代数式与数的乘、除法 | 代数 | ★★★★ | ★★ | \(a(b+c)=ab+ac\) |</t>
  </si>
  <si>
    <t>| 9.5 | 代数式的混合运算 | 代数 | ★★★★ | ★★★ | 先乘除后加减 |</t>
  </si>
  <si>
    <t>| 9.6 | 等式与不等式的概念 | 代数 | ★★★★ | ★★ | 等式两边相等；不等式有大小 |</t>
  </si>
  <si>
    <t>| 10.1 | 一元一次方程式 | 代数 | ★★★★★ | ★★ | \(ax+b=0\Rightarrow x=-\frac ba\) |</t>
  </si>
  <si>
    <t>| 10.2 | 一元一次方程式的应用问题 | 代数→应用 | ★★★★★ | ★★★ | 设未知数、列方程 |</t>
  </si>
  <si>
    <t>| 11.1 | 比与比例的概念及其性质 | 代数/应用 | ★★★★ | ★★ | \(a:b=c:d\Rightarrow ad=bc\) |</t>
  </si>
  <si>
    <t>| 11.2 | 比例分配 | 代数/应用 | ★★★★ | ★★★ | 按比例分配总量 |</t>
  </si>
  <si>
    <t>| 11.3 | 正比例与反比例 | 代数/函数 | ★★★★ | ★★★ | 正比 \(y=kx\)；反比 \(y=\frac kx\) |</t>
  </si>
  <si>
    <t>| 12.1 | 平面图形与立体图形 | 几何 | ★★★ | ★ | 认识基本图形 |</t>
  </si>
  <si>
    <t>| 12.2 | 平面图形的线对称与点对称 | 几何 | ★★★ | ★★ | 对称轴、对称中心 |</t>
  </si>
  <si>
    <t>| 12.3 | 角及其测量 | 几何 | ★★★★ | ★★ | 用量角器；度、分、秒 |</t>
  </si>
  <si>
    <t>| 12.4 | 角的分类 | 几何 | ★★★ | ★ | 锐角、直角、钝角、平角、周角 |</t>
  </si>
  <si>
    <t>| 12.5 | 相交线、平行线及垂线 | 几何 | ★★★★ | ★★ | 平行：同一平面不相交 |</t>
  </si>
  <si>
    <t>| 12.6 | 与相交线有关的角 | 几何 | ★★★★ | ★★ | 对顶角相等 |</t>
  </si>
  <si>
    <t>| 12.7 | 与平行线有关的角及其性质 | 几何 | ★★★★★ | ★★★ | 同位角相等、内错角相等 |</t>
  </si>
  <si>
    <t>| 12.8 | 平行线的判定 | 几何 | ★★★★★ | ★★★ | 同位角相等⇒两直线平行 |</t>
  </si>
  <si>
    <t>| 13.1 | 二元一次方程组 | 代数 | ★★★★★ | ★★★ | 两个一次方程联立 |</t>
  </si>
  <si>
    <t>| 13.2 | 代入消元法 | 代数 | ★★★★★ | ★★★ | 由一式代入另一式 |</t>
  </si>
  <si>
    <t>| 13.3 | 加减消元法 | 代数 | ★★★★★ | ★★★ | 相加/相减消元 |</t>
  </si>
  <si>
    <t>| 13.4 | 应用问题 | 代数→应用 | ★★★★★ | ★★★★ | 设两个未知数，列方程组 |</t>
  </si>
  <si>
    <t>| 14.1 | 直角坐标系 | 解析几何 | ★★★★ | ★★ | 点 \((x,y)\) |</t>
  </si>
  <si>
    <t>| 14.2 | 二元一次方程式与直线 | 解析几何 | ★★★★ | ★★★ | \(ax+by=c\) 表示直线 |</t>
  </si>
  <si>
    <t>| 14.3 | 二元一次方程组的图解法 | 解析几何 | ★★★★ | ★★★ | 解=两直线交点 |</t>
  </si>
  <si>
    <t>## 初二</t>
  </si>
  <si>
    <t>| 1.1 | 多项式 | 代数 | ★★★★ | ★★ | 单项式之和 |</t>
  </si>
  <si>
    <t>| 1.2 | 多项式的四则运算 | 代数 | ★★★★ | ★★★ | 合并同类项、乘法展开 |</t>
  </si>
  <si>
    <t>| 1.3 | 乘法公式 | 代数 | ★★★★★ | ★★★ | \((a\pm b)^2=a^2\pm2ab+b^2\) |</t>
  </si>
  <si>
    <t>| 2.1 | 因式分解 | 代数 | ★★★★★ | ★★★★ | \(a^2-b^2=(a+b)(a-b)\) |</t>
  </si>
  <si>
    <t>| 2.2 | 最高公因式与最低公倍式 | 代数 | ★★★★ | ★★★ | 提取公因式 |</t>
  </si>
  <si>
    <t>| 3.1 | 平方根与算术平方根及其性质 | 代数 | ★★★★ | ★★★ | \(\sqrt{a^2}=|a|\) |</t>
  </si>
  <si>
    <t>| 3.2 | 数的立方根 | 代数 | ★★★ | ★★★ | \(\sqrt[3]{a^3}=a\) |</t>
  </si>
  <si>
    <t>| 3.3 | 有理数与无理数 | 代数 | ★★★★ | ★★★ | 无理数：无限不循环小数 |</t>
  </si>
  <si>
    <t>| 3.4 | 二次根式的化简 | 代数 | ★★★★★ | ★★★ | \(\sqrt{ab}=\sqrt a\sqrt b\) |</t>
  </si>
  <si>
    <t>| 3.5 | 二次根式的四则运算 | 代数 | ★★★★★ | ★★★★ | 分母有理化 |</t>
  </si>
  <si>
    <t>| 4.1 | 三角形 | 几何 | ★★★★★ | ★★ | 三边关系：\(a+b&gt;c\) |</t>
  </si>
  <si>
    <t>| 4.2 | 三角形的内角与外角 | 几何 | ★★★★★ | ★★★ | 内角和 \(180^\circ\)；外角=不相邻两内角和 |</t>
  </si>
  <si>
    <t>| 4.3 | 全等三角形 | 几何 | ★★★★★ | ★★★ | SSS、SAS、ASA、AAS、RHS |</t>
  </si>
  <si>
    <t>| 4.4 | 等腰三角形及等边三角形 | 几何 | ★★★★★ | ★★★ | 等边对等角；三线合一 |</t>
  </si>
  <si>
    <t>| 4.5 | 直角三角形 | 几何 | ★★★★★ | ★★★ | 两锐角互余；斜边中线=斜边一半 |</t>
  </si>
  <si>
    <t>| 5.1 | 四边形 | 几何 | ★★★★ | ★★ | 内角和 \(360^\circ\) |</t>
  </si>
  <si>
    <t>| 5.2 | 平行四边形 | 几何 | ★★★★★ | ★★★ | 对边平行且相等；对角线互相平分 |</t>
  </si>
  <si>
    <t>| 5.3 | 长方形 | 几何 | ★★★★ | ★★ | 面积 \(ab\)；对角线相等 |</t>
  </si>
  <si>
    <t>| 5.4 | 菱形 | 几何 | ★★★★ | ★★★ | 四边相等；对角线垂直 |</t>
  </si>
  <si>
    <t>| 5.5 | 正方形 | 几何 | ★★★★ | ★★ | 四边相等且四角直角 |</t>
  </si>
  <si>
    <t>| 5.6 | 风筝形 | 几何 | ★★★ | ★★★ | 两组邻边相等 |</t>
  </si>
  <si>
    <t>| 5.7 | 梯形 | 几何 | ★★★★ | ★★★ | 面积 \(\frac{(a+b)h}{2}\) |</t>
  </si>
  <si>
    <t>| 5.8 | 四边形之间的关系 | 几何 | ★★★ | ★★★ | 包含关系图 |</t>
  </si>
  <si>
    <t>| 5.9 | 多边形 | 几何 | ★★★★ | ★★★ | 内角和 \((n-2)180^\circ\) |</t>
  </si>
  <si>
    <t>| 6.1 | 周长 | 几何/度量 | ★★★★ | ★★ | 封闭图形边长总和 |</t>
  </si>
  <si>
    <t>| 6.2 | 面积 | 几何/度量 | ★★★★★ | ★★ | 长方形 \(ab\)；三角形 \(\frac12bh\) |</t>
  </si>
  <si>
    <t>| 6.3 | 面积单位的换算 | 度量 | ★★★ | ★★ | \(1\text{ m}^2=10000\text{ cm}^2\) |</t>
  </si>
  <si>
    <t>| 7.1 | 圆 | 几何 | ★★★★★ | ★★★ | 周长 \(2\pi r\)；面积 \(\pi r^2\) |</t>
  </si>
  <si>
    <t>| 8.1 | 毕氏定理 | 几何 | ★★★★★ | ★★★ | \(a^2+b^2=c^2\) |</t>
  </si>
  <si>
    <t>| 8.2 | 毕氏定理的逆定理 | 几何 | ★★★★★ | ★★★ | 若 \(a^2+b^2=c^2\)，则为直角三角形 |</t>
  </si>
  <si>
    <t>| 8.3 | 距离公式 | 解析几何 | ★★★★★ | ★★★ | \(\sqrt{(x_2-x_1)^2+(y_2-y_1)^2}\) |</t>
  </si>
  <si>
    <t>| 9.1 | 集合与元素 | 集合/逻辑 | ★★★ | ★★ | \(a\in A\) |</t>
  </si>
  <si>
    <t>| 9.2 | 有限集与基数 | 集合/逻辑 | ★★★ | ★★ | \(n(A)\) |</t>
  </si>
  <si>
    <t>| 9.3 | 集合间的关系及运算 | 集合/逻辑 | ★★★★ | ★★★ | \(A\cup B,\ A\cap B\) |</t>
  </si>
  <si>
    <t>| 9.4 | 泛集与余集 | 集合/逻辑 | ★★★ | ★★★ | \(A^c\) |</t>
  </si>
  <si>
    <t>| 10.1 | 两个集合联集的基数公式及其应用 | 集合/逻辑 | ★★★★ | ★★★ | \(n(A\cup B)=n(A)+n(B)-n(A\cap B)\) |</t>
  </si>
  <si>
    <t>| 10.2 | 余集的基数公式及其应用 | 集合/逻辑 | ★★★ | ★★★ | \(n(A^c)=n(U)-n(A)\) |</t>
  </si>
  <si>
    <t>| 10.3 | 三个集合联集的基数公式及其应用 | 集合/逻辑 | ★★★★ | ★★★★ | 三集容斥公式 |</t>
  </si>
  <si>
    <t>| 11.1 | 一元二次方程式的解法 | 代数 | ★★★★★ | ★★★★ | \(x=\frac{-b\pm\sqrt{b^2-4ac}}{2a}\) |</t>
  </si>
  <si>
    <t>| 11.2 | 应用问题 | 代数→应用 | ★★★★★ | ★★★★ | 设未知数，列二次方程 |</t>
  </si>
  <si>
    <t>| 11.3 | 一元二次函数的图像 | 函数 | ★★★★★ | ★★★★ | 抛物线顶点 \(x=-\frac b{2a}\) |</t>
  </si>
  <si>
    <t>| 12.1 | 分式的概念与基本性质 | 代数 | ★★★★★ | ★★★ | 分母不为0 |</t>
  </si>
  <si>
    <t>| 12.2 | 分式的四则运算 | 代数 | ★★★★★ | ★★★★ | \(\frac ab\pm\frac cd=\frac{ad\pm bc}{bd}\) |</t>
  </si>
  <si>
    <t>| 12.3 | 繁分式 | 代数 | ★★★ | ★★★★ | 逐步化简 |</t>
  </si>
  <si>
    <t>| 12.4 | 分式方程式 | 代数 | ★★★★★ | ★★★★ | 去分母后验根 |</t>
  </si>
  <si>
    <t>| 12.5 | 应用问题 | 代数→应用 | ★★★★ | ★★★★ | 工程、行程、浓度 |</t>
  </si>
  <si>
    <t>| 13.1 | 公式 | 代数 | ★★★★ | ★★★ | 用字母表示数量关系 |</t>
  </si>
  <si>
    <t>| 13.2 | 公式主项的更换 | 代数 | ★★★★ | ★★★ | \(s=vt\Rightarrow t=\frac sv\) |</t>
  </si>
  <si>
    <t>| 14.1 | 不等式的基本性质 | 代数 | ★★★★★ | ★★★ | 乘负数不等号变向 |</t>
  </si>
  <si>
    <t>| 14.2 | 一元一次不等式 | 代数 | ★★★★★ | ★★★ | \(ax+b&gt;0\) |</t>
  </si>
  <si>
    <t>| 14.3 | 一元一次不等式组 | 代数 | ★★★★★ | ★★★★ | 取交集 |</t>
  </si>
  <si>
    <t>| 14.4 | 应用问题 | 代数→应用 | ★★★★★ | ★★★★ | 列不等式解范围 |</t>
  </si>
  <si>
    <t>## 初三</t>
  </si>
  <si>
    <t>| 1.1 | 正变 | 代数/函数 | ★★★★ | ★★★ | \(y=kx\) |</t>
  </si>
  <si>
    <t>| 1.2 | 反变 | 代数/函数 | ★★★★ | ★★★ | \(y=\frac kx\) |</t>
  </si>
  <si>
    <t>| 1.3 | 联变 | 代数/函数 | ★★★ | ★★★ | \(y=kxz\) |</t>
  </si>
  <si>
    <t>| 2.1 | 零指数幂与负整数指数幂 | 代数 | ★★★★ | ★★★ | \(a^0=1,\ a^{-n}=\frac1{a^n}\) |</t>
  </si>
  <si>
    <t>| 2.2 | 分数指数幂 | 代数 | ★★★★ | ★★★★ | \(a^{m/n}=\sqrt[n]{a^m}\) |</t>
  </si>
  <si>
    <t>| 2.3 | 简易指数方程式 | 代数 | ★★★★ | ★★★★ | \(a^x=a^y\Rightarrow x=y\) |</t>
  </si>
  <si>
    <t>| 2.4 | 对数的定义与性质 | 代数/函数 | ★★★★★ | ★★★★ | \(\log_a(MN)=\log_aM+\log_aN\) |</t>
  </si>
  <si>
    <t>| 3.1 | 统计学的基本概念 | 统计 | ★★★ | ★★ | 总体、样本、数据 |</t>
  </si>
  <si>
    <t>| 3.2 | 频数分配表 | 统计 | ★★★★ | ★★★ | 频数、频率 |</t>
  </si>
  <si>
    <t>| 3.3 | 统计图 | 统计 | ★★★★ | ★★ | 条形图、折线图、饼图 |</t>
  </si>
  <si>
    <t>| 3.4 | 累积频数分配表与累积频数多边形 | 统计 | ★★★ | ★★★ | 累积频数 |</t>
  </si>
  <si>
    <t>| 4.1 | 集中趋势 | 统计 | ★★★★★ | ★★★ | 平均数、中位数、众数 |</t>
  </si>
  <si>
    <t>| 4.2 | 四分位数 | 统计 | ★★★★ | ★★★ | \(IQR=Q_3-Q_1\) |</t>
  </si>
  <si>
    <t>| 5.1 | 相似形 | 几何 | ★★★★★ | ★★★ | 对应角相等、对应边成比例 |</t>
  </si>
  <si>
    <t>| 5.2 | 相似三角形的判定与应用 | 几何 | ★★★★★ | ★★★★ | AA、SAS、SSS |</t>
  </si>
  <si>
    <t>| 5.3 | 相似形的面积比 | 几何 | ★★★★★ | ★★★ | 面积比 \(=k^2\) |</t>
  </si>
  <si>
    <t>| 6.1 | 基本概念 | 几何/度量 | ★★★ | ★★ | 表面积、体积 |</t>
  </si>
  <si>
    <t>| 6.2 | 表面积、体积及其单位的换算 | 度量 | ★★★★ | ★★★ | \(1\text{ m}^3=1000\text{ L}\) |</t>
  </si>
  <si>
    <t>| 6.3 | 平面展开图 | 几何 | ★★★ | ★★★ | 展开图还原立体 |</t>
  </si>
  <si>
    <t>| 6.4 | 棱柱 | 几何 | ★★★★ | ★★★ | \(V=Sh\) |</t>
  </si>
  <si>
    <t>| 6.5 | 直圆柱 | 几何 | ★★★★ | ★★★ | \(V=\pi r^2h\)；侧面积 \(2\pi rh\) |</t>
  </si>
  <si>
    <t>| 6.6 | 棱锥 | 几何 | ★★★★ | ★★★★ | \(V=\frac13Sh\) |</t>
  </si>
  <si>
    <t>| 6.7 | 直圆锥 | 几何 | ★★★★ | ★★★★ | \(V=\frac13\pi r^2h\) |</t>
  </si>
  <si>
    <t>| 6.8 | 球 | 几何 | ★★★★ | ★★★★ | \(V=\frac43\pi r^3,\ S=4\pi r^2\) |</t>
  </si>
  <si>
    <t>| 7.1 | 锐角的三角函数 | 三角 | ★★★★★ | ★★★ | \(\sin=\frac{对}{斜},\cos=\frac{邻}{斜},\tan=\frac{对}{邻}\) |</t>
  </si>
  <si>
    <t>| 7.2 | 特别角的三角函数值 | 三角 | ★★★★★ | ★★★ | \(30^\circ,45^\circ,60^\circ\) 的值 |</t>
  </si>
  <si>
    <t>| 7.3 | 已知一个三角函数值，求其它三角函数值 | 三角 | ★★★★ | ★★★★ | 用 \(\sin^2+\cos^2=1\) |</t>
  </si>
  <si>
    <t>| 7.4 | 三角函数的应用 | 三角→应用 | ★★★★★ | ★★★★ | 测高、测距 |</t>
  </si>
  <si>
    <t>| 8.1 | 圆心角 | 几何 | ★★★★ | ★★★ | 圆心角=所对弧的度数 |</t>
  </si>
  <si>
    <t>| 8.2 | 圆周角 | 几何 | ★★★★★ | ★★★★ | 圆周角=同弧圆心角的一半 |</t>
  </si>
  <si>
    <t>| 8.3 | 垂径定理 | 几何 | ★★★★★ | ★★★★ | 垂直于弦的直径平分弦 |</t>
  </si>
  <si>
    <t>| 8.4 | 圆内接四边形 | 几何 | ★★★★★ | ★★★ | 对角和 \(180^\circ\) |</t>
  </si>
  <si>
    <t>| 8.5 | 直线与圆的关系 | 几何 | ★★★★ | ★★★ | 相交、相切、相离 |</t>
  </si>
  <si>
    <t>| 8.6 | 弦切角 | 几何 | ★★★★ | ★★★★ | 弦切角=所夹弧的圆周角 |</t>
  </si>
  <si>
    <t>| 9.1 | 轨迹 | 几何 | ★★★ | ★★★★ | 到定点等距的点的轨迹 |</t>
  </si>
  <si>
    <t>| 9.2 | 圆的作图 | 几何 | ★★★ | ★★★ | 已知圆心半径作圆 |</t>
  </si>
  <si>
    <t>| 9.3 | 垂线的作图 | 几何 | ★★★ | ★★★ | 过点作垂线 |</t>
  </si>
  <si>
    <t>| 9.4 | 角及角平分线的作图 | 几何 | ★★★ | ★★★ | 尺规作角平分线 |</t>
  </si>
  <si>
    <t>| 9.5 | 三角形的作图 | 几何 | ★★★ | ★★★★ | SSS、SAS、ASA 作图 |</t>
  </si>
  <si>
    <t>| 9.6 | 平行线的作图 | 几何 | ★★★ | ★★★ | 同位角相等作平行 |</t>
  </si>
  <si>
    <t>| 9.7 | 三角形的外接圆与内切圆的作图 | 几何 | ★★★★ | ★★★★ | 外心、内心 |</t>
  </si>
  <si>
    <t>| 9.8 | 正多边形的作图 | 几何 | ★★★ | ★★★★ | 圆内接正多边形 |</t>
  </si>
  <si>
    <t>| 10.1 | 反射 | 几何 | ★★★★ | ★★★ | 关于直线对称 |</t>
  </si>
  <si>
    <t>| 10.2 | 平移 | 几何 | ★★★★ | ★★ | 图形平移 |</t>
  </si>
  <si>
    <t>| 10.3 | 旋转 | 几何 | ★★★★ | ★★★ | 旋转中心、旋转角 |</t>
  </si>
  <si>
    <t>| 10.4 | 放大 | 几何 | ★★★ | ★★★ | 位似放大 |</t>
  </si>
  <si>
    <t>## 高一</t>
  </si>
  <si>
    <t>| 1.1 | 直角坐标系 | 解析几何 | ★★★★★ | ★★ | 点 \((x,y)\) |</t>
  </si>
  <si>
    <t>| 1.2 | 定比分点 | 解析几何 | ★★★ | ★★★ | 分点坐标公式 |</t>
  </si>
  <si>
    <t>| 1.3 | 多边形的面积 | 解析几何 | ★★★ | ★★★ | 坐标法求面积 |</t>
  </si>
  <si>
    <t>| 1.4 | 直线的斜率 | 解析几何 | ★★★★★ | ★★★ | \(k=\frac{y_2-y_1}{x_2-x_1}\) |</t>
  </si>
  <si>
    <t>| 1.5 | 直线方程式 | 解析几何 | ★★★★★ | ★★★ | \(y-y_1=k(x-x_1)\) |</t>
  </si>
  <si>
    <t>| 1.6 | 两直线的位置关系 | 解析几何 | ★★★★★ | ★★★ | 平行 \(k_1=k_2\)；垂直 \(k_1k_2=-1\) |</t>
  </si>
  <si>
    <t>| 1.7 | 点到直线的距离 | 解析几何 | ★★★★ | ★★★★ | \(d=\frac{|Ax_0+By_0+C|}{\sqrt{A^2+B^2}}\) |</t>
  </si>
  <si>
    <t>| 2.1 | 一元二次方程式的根的判别式 | 代数 | ★★★★★ | ★★★ | \(\Delta=b^2-4ac\) |</t>
  </si>
  <si>
    <t>| 2.2 | 一元二次方程式的根与系数的关系 | 代数 | ★★★★★ | ★★★★ | \(x_1+x_2=-\frac ba,\ x_1x_2=\frac ca\) |</t>
  </si>
  <si>
    <t>| 2.3 | 二次函数的图像与最值 | 函数 | ★★★★★ | ★★★★ | 顶点 \(x=-\frac b{2a}\) |</t>
  </si>
  <si>
    <t>| 2.4 | 一元二次函数的图像与直线的位置关系 | 函数/解析几何 | ★★★★ | ★★★★ | 联立方程判别式 |</t>
  </si>
  <si>
    <t>| 2.5 | 系数 \(a,b,c\) 变化对 \(y=ax^2+bx+c\) 图像的影响 | 函数 | ★★★★ | ★★★★ | \(a\) 开口，\(c\) 截距 |</t>
  </si>
  <si>
    <t>| 3.1 | 多项式 | 代数 | ★★★★ | ★★ | 次数、系数 |</t>
  </si>
  <si>
    <t>| 3.2 | 余式定理 | 代数 | ★★★★ | ★★★★ | \(f(a)\) 为除以 \(x-a\) 的余数 |</t>
  </si>
  <si>
    <t>| 3.3 | 因式定理 | 代数 | ★★★★★ | ★★★★ | \(f(a)=0\Rightarrow(x-a)\) 因式 |</t>
  </si>
  <si>
    <t>| 3.4 | 一元多项式的因式分解 | 代数 | ★★★★★ | ★★★★ | 综合除法 |</t>
  </si>
  <si>
    <t>| 3.5 | 解一元高次方程 | 代数 | ★★★★ | ★★★★ | 因式分解降次 |</t>
  </si>
  <si>
    <t>| 4.1 | 根式 | 代数 | ★★★★ | ★★★ | \(\sqrt a\) |</t>
  </si>
  <si>
    <t>| 4.2 | 分数指数 | 代数 | ★★★★ | ★★★ | \(a^{m/n}=\sqrt[n]{a^m}\) |</t>
  </si>
  <si>
    <t>| 4.3 | 根式的运算 | 代数 | ★★★★ | ★★★★ | \(\sqrt a\sqrt b=\sqrt{ab}\) |</t>
  </si>
  <si>
    <t>| 4.4 | 有理化因式及有理化分母 | 代数 | ★★★★ | ★★★★ | 分母有理化 |</t>
  </si>
  <si>
    <t>| 5.1 | 函数 | 函数 | ★★★★★ | ★★★ | \(y=f(x)\) |</t>
  </si>
  <si>
    <t>| 5.2 | 函数的定义域与值域 | 函数 | ★★★★★ | ★★★★ | 定义域、值域 |</t>
  </si>
  <si>
    <t>| 5.3 | 函数的图像 | 函数 | ★★★★★ | ★★★ | 图像与性质 |</t>
  </si>
  <si>
    <t>| 5.4 | 合成函数 | 函数 | ★★★★ | ★★★★ | \(f(g(x))\) |</t>
  </si>
  <si>
    <t>| 5.5 | 一一映射函数 | 函数 | ★★★ | ★★★★ | 单射、满射 |</t>
  </si>
  <si>
    <t>| 5.6 | 反函数 | 函数 | ★★★★ | ★★★★ | \(f^{-1}(x)\) |</t>
  </si>
  <si>
    <t>| 6.1 | 不等式及其性质 | 代数 | ★★★★★ | ★★★ | 乘负数变向 |</t>
  </si>
  <si>
    <t>| 6.2 | 一元二次不等式 | 代数 | ★★★★★ | ★★★★ | 结合抛物线解集 |</t>
  </si>
  <si>
    <t>| 6.3 | 一元高次不等式与分式不等式 | 代数 | ★★★★ | ★★★★ | 数轴标根法 |</t>
  </si>
  <si>
    <t>| 6.4 | 含绝对值的不等式 | 代数 | ★★★★★ | ★★★★ | \(|x|&lt;a\Rightarrow -a&lt;x&lt;a\) |</t>
  </si>
  <si>
    <t>| 6.5 | 二元一次不等式 | 代数/解析几何 | ★★★★ | ★★★★ | 半平面 |</t>
  </si>
  <si>
    <t>| 6.6 | 线性规划 | 代数/应用 | ★★★★ | ★★★★ | 可行域、目标函数 |</t>
  </si>
  <si>
    <t>| 7.1 | 命题 | 逻辑 | ★★★ | ★★ | 真命题、假命题 |</t>
  </si>
  <si>
    <t>| 7.2 | 逻辑联结词“非”、“且”、“或” | 逻辑 | ★★★★ | ★★★ | \(\neg,\land,\lor\) |</t>
  </si>
  <si>
    <t>| 7.3 | 全称量词与存在量词 | 逻辑 | ★★★★ | ★★★ | \(\forall,\exists\) |</t>
  </si>
  <si>
    <t>| 7.4 | 充分条件、必要条件及充要条件 | 逻辑 | ★★★★★ | ★★★★ | \(p\Rightarrow q\) |</t>
  </si>
  <si>
    <t>| 7.5 | 推理 | 逻辑 | ★★★ | ★★★ | 演绎推理 |</t>
  </si>
  <si>
    <t>| 8.1 | 任意角的概念与度量 | 三角 | ★★★★ | ★★★ | 角度制、弧度制 |</t>
  </si>
  <si>
    <t>| 8.2 | 弧长与扇形面积 | 三角/几何 | ★★★★★ | ★★★ | \(l=r\theta,\ S=\frac12r^2\theta\) |</t>
  </si>
  <si>
    <t>| 9.1 | 任意角的三角函数 | 三角 | ★★★★★ | ★★★★ | 单位圆定义 |</t>
  </si>
  <si>
    <t>| 9.2 | 三角函数的诱导公式 | 三角 | ★★★★★ | ★★★★ | \(\sin(\pi-\alpha)=\sin\alpha\) |</t>
  </si>
  <si>
    <t>| 9.3 | 三角函数的图像 | 三角 | ★★★★★ | ★★★★ | 正弦、余弦、正切图像 |</t>
  </si>
  <si>
    <t>| 9.4 | 反三角函数 | 三角 | ★★★★ | ★★★★ | \(\arcsin,\arccos,\arctan\) |</t>
  </si>
  <si>
    <t>| 10.1 | 正弦定律 | 三角 | ★★★★★ | ★★★★ | \(\frac a{\sin A}=\frac b{\sin B}=\frac c{\sin C}\) |</t>
  </si>
  <si>
    <t>| 10.2 | 余弦定律 | 三角 | ★★★★★ | ★★★★ | \(a^2=b^2+c^2-2bc\cos A\) |</t>
  </si>
  <si>
    <t>| 10.3 | 三角形的面积 | 三角 | ★★★★★ | ★★★ | \(S=\frac12ab\sin C\) |</t>
  </si>
  <si>
    <t>| 10.4 | 测量问题 | 三角→应用 | ★★★★ | ★★★★ | 测高、测距 |</t>
  </si>
  <si>
    <t>| 11.1 | 同角三角函数的基本关系式 | 三角 | ★★★★★ | ★★★ | \(\sin^2+\cos^2=1\) |</t>
  </si>
  <si>
    <t>| 11.2 | 两角之和与差的三角函数 | 三角 | ★★★★★ | ★★★★ | \(\sin(\alpha\pm\beta)\) |</t>
  </si>
  <si>
    <t>| 11.3 | 倍角的三角函数 | 三角 | ★★★★★ | ★★★★ | \(\sin2\alpha=2\sin\alpha\cos\alpha\) |</t>
  </si>
  <si>
    <t>| 11.4 | 三角方程式 | 三角 | ★★★★★ | ★★★★ | 解 \(\sin x=a\) |</t>
  </si>
  <si>
    <t>| 12.1 | 指数函数 | 函数 | ★★★★★ | ★★★★ | \(y=a^x\) |</t>
  </si>
  <si>
    <t>| 12.2 | 对数函数 | 函数 | ★★★★★ | ★★★★ | \(y=\log_ax\) |</t>
  </si>
  <si>
    <t>| 12.3 | 指数方程式与对数方程式 | 函数 | ★★★★★ | ★★★★ | 同底化、换底 |</t>
  </si>
  <si>
    <t>| 13.1 | 数列与级数 | 数列 | ★★★★★ | ★★★ | \(a_n,\ S_n\) |</t>
  </si>
  <si>
    <t>| 13.2 | 等差数列与等差数列 | 数列 | ★★★★★ | ★★★ | \(a_n=a_1+(n-1)d\) |</t>
  </si>
  <si>
    <t>| 13.3 | 等比数列与等比级数 | 数列 | ★★★★★ | ★★★★ | \(a_n=a_1r^{n-1}\) |</t>
  </si>
  <si>
    <t>| 13.4 | 复利与年金 | 数列→应用 | ★★★★ | ★★★★ | \(A=P(1+r)^n\) |</t>
  </si>
  <si>
    <t>| 13.5 | 特殊级数的和 | 数列 | ★★★ | ★★★★ | \(\sum n,\sum n^2\) |</t>
  </si>
  <si>
    <t xml:space="preserve">如果你要，我可以继续把其中任意一个年级，按你截图那种**每个知识点一张卡片**展开：  </t>
  </si>
  <si>
    <t>`## 知识点：XXX / 课本章节 / 所属 / 学习前需要掌握 / 难度 / 重要性 / 核心公式`。</t>
  </si>
  <si>
    <t>初一</t>
  </si>
  <si>
    <t>课本章节</t>
  </si>
  <si>
    <t xml:space="preserve"> 知识点</t>
  </si>
  <si>
    <t>所属</t>
  </si>
  <si>
    <t>重要度</t>
  </si>
  <si>
    <t>难易度</t>
  </si>
  <si>
    <t>核心公式/要点</t>
  </si>
  <si>
    <t>完整数</t>
  </si>
  <si>
    <t>★★★</t>
  </si>
  <si>
    <t>★★</t>
  </si>
  <si>
    <t>自然数不含0 整数含负整数</t>
  </si>
  <si>
    <t>二元一次方程组的图解法</t>
  </si>
  <si>
    <t>二元一次方程式与直线</t>
  </si>
  <si>
    <t>直角坐标系</t>
  </si>
  <si>
    <t>应用问题</t>
  </si>
  <si>
    <t>代入消元法</t>
  </si>
  <si>
    <t>二元一次方程组</t>
  </si>
  <si>
    <t>平行线的判定</t>
  </si>
  <si>
    <t>与平行线有关的角及其性质</t>
  </si>
  <si>
    <t>与相交线有关的角</t>
  </si>
  <si>
    <t>相交线、平行线及垂线</t>
  </si>
  <si>
    <t>角的分类</t>
  </si>
  <si>
    <t>角及其测量</t>
  </si>
  <si>
    <t>平面图形的线对称与点对称</t>
  </si>
  <si>
    <t>平面图形与立体图形</t>
  </si>
  <si>
    <t>正比例与反比例</t>
  </si>
  <si>
    <t>按比例分配总量</t>
  </si>
  <si>
    <t>认识基本图形</t>
  </si>
  <si>
    <t>对称轴、对称中心</t>
  </si>
  <si>
    <t>锐角、直角、钝角、平角、周角</t>
  </si>
  <si>
    <t>对顶角相等</t>
  </si>
  <si>
    <t>两个一次方程联立</t>
  </si>
  <si>
    <t>由一式代入另一式</t>
  </si>
  <si>
    <t>加减消元法</t>
  </si>
  <si>
    <t>相加/相减消元</t>
  </si>
  <si>
    <t>解=两直线交点</t>
  </si>
  <si>
    <t>同位角相等、内错角相等</t>
  </si>
  <si>
    <t>比例分配</t>
  </si>
  <si>
    <t>★★★★</t>
  </si>
  <si>
    <t>★★★★★</t>
  </si>
  <si>
    <t>★</t>
  </si>
  <si>
    <t>完整数的四则运算</t>
  </si>
  <si>
    <t>四则运算三大定律</t>
  </si>
  <si>
    <t>奇数与偶数</t>
  </si>
  <si>
    <t>因数与倍数</t>
  </si>
  <si>
    <t>质数与合数</t>
  </si>
  <si>
    <t>质因数</t>
  </si>
  <si>
    <t>公因数与最大公因数</t>
  </si>
  <si>
    <t>公倍数与最小公倍数</t>
  </si>
  <si>
    <t>最大公因数与最小公倍数的应用</t>
  </si>
  <si>
    <t>自然数的可除性</t>
  </si>
  <si>
    <t>正整数与负整数</t>
  </si>
  <si>
    <t>整数的四则运算</t>
  </si>
  <si>
    <t>整数的混合运算</t>
  </si>
  <si>
    <t>相反数与绝对值</t>
  </si>
  <si>
    <t>数列</t>
  </si>
  <si>
    <t>分数的概念与基本性质</t>
  </si>
  <si>
    <t>分数的比较</t>
  </si>
  <si>
    <t>分数的种类</t>
  </si>
  <si>
    <t>分数的加减法</t>
  </si>
  <si>
    <t>分数的乘除法</t>
  </si>
  <si>
    <t>分数的混合运算</t>
  </si>
  <si>
    <t>繁分数</t>
  </si>
  <si>
    <t>小数的概念</t>
  </si>
  <si>
    <t>小数的四则运算</t>
  </si>
  <si>
    <t>循环小数</t>
  </si>
  <si>
    <t>近似值</t>
  </si>
  <si>
    <t>小数的应用问题</t>
  </si>
  <si>
    <t>长度单位</t>
  </si>
  <si>
    <t>质量单位</t>
  </si>
  <si>
    <t>容量单位</t>
  </si>
  <si>
    <t>时间单位</t>
  </si>
  <si>
    <t>百分数的概念</t>
  </si>
  <si>
    <t>十进制</t>
  </si>
  <si>
    <t>二进制</t>
  </si>
  <si>
    <t>二进数的运算</t>
  </si>
  <si>
    <t>八进制</t>
  </si>
  <si>
    <t>代数式</t>
  </si>
  <si>
    <t>完整数与自然数的概念</t>
  </si>
  <si>
    <t>交换律、结合律、分配律</t>
  </si>
  <si>
    <t>列式解实际数量关系</t>
  </si>
  <si>
    <r>
      <t>a=bc⇒b,c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=</t>
    </r>
    <r>
      <rPr>
        <i/>
        <sz val="13.3"/>
        <color rgb="FF0F1115"/>
        <rFont val="KaTeX_Math"/>
      </rPr>
      <t>bc</t>
    </r>
    <r>
      <rPr>
        <sz val="13.3"/>
        <color rgb="FF0F1115"/>
        <rFont val="Times New Roman"/>
        <family val="1"/>
      </rPr>
      <t>⇒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c</t>
    </r>
    <r>
      <rPr>
        <sz val="11"/>
        <color rgb="FF0F1115"/>
        <rFont val="Segoe UI"/>
        <family val="2"/>
      </rPr>
      <t xml:space="preserve"> 是因数</t>
    </r>
  </si>
  <si>
    <t>质数只有1和本身</t>
  </si>
  <si>
    <r>
      <t>分解质因数：</t>
    </r>
    <r>
      <rPr>
        <sz val="13.3"/>
        <color rgb="FF0F1115"/>
        <rFont val="Times New Roman"/>
        <family val="1"/>
      </rPr>
      <t>60=22⋅3⋅560=2</t>
    </r>
    <r>
      <rPr>
        <sz val="7.7"/>
        <color rgb="FF0F1115"/>
        <rFont val="Times New Roman"/>
        <family val="1"/>
      </rPr>
      <t>2</t>
    </r>
    <r>
      <rPr>
        <sz val="13.3"/>
        <color rgb="FF0F1115"/>
        <rFont val="Times New Roman"/>
        <family val="1"/>
      </rPr>
      <t>⋅3⋅5</t>
    </r>
  </si>
  <si>
    <r>
      <t>gcd⁡(a,b)gcd(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)</t>
    </r>
  </si>
  <si>
    <r>
      <t>lcm⁡(a,b)lcm(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)</t>
    </r>
  </si>
  <si>
    <t>2、3、5、9、11的整除判定</t>
  </si>
  <si>
    <t>数轴表示正负</t>
  </si>
  <si>
    <t>同号相加、异号相减</t>
  </si>
  <si>
    <t>先乘除后加减，括号优先</t>
  </si>
  <si>
    <t>通分后比分子</t>
  </si>
  <si>
    <t>真分数、假分数、带分数</t>
  </si>
  <si>
    <t>先乘除后加减</t>
  </si>
  <si>
    <t>分子分母含分数，逐步化简</t>
  </si>
  <si>
    <t>分数应用题：单位“1”</t>
  </si>
  <si>
    <t>十分位、百分位</t>
  </si>
  <si>
    <t>小数点对齐</t>
  </si>
  <si>
    <t>四舍五入</t>
  </si>
  <si>
    <t>单位换算、取近似</t>
  </si>
  <si>
    <r>
      <t xml:space="preserve">百分数 </t>
    </r>
    <r>
      <rPr>
        <sz val="13.3"/>
        <color rgb="FF0F1115"/>
        <rFont val="Times New Roman"/>
        <family val="1"/>
      </rPr>
      <t>=部分全体×100%=</t>
    </r>
    <r>
      <rPr>
        <sz val="7.7"/>
        <color rgb="FF0F1115"/>
        <rFont val="Times New Roman"/>
        <family val="1"/>
      </rPr>
      <t>全体部分</t>
    </r>
    <r>
      <rPr>
        <sz val="1"/>
        <color rgb="FF0F1115"/>
        <rFont val="Times New Roman"/>
        <family val="1"/>
      </rPr>
      <t>​</t>
    </r>
    <r>
      <rPr>
        <sz val="13.3"/>
        <color rgb="FF0F1115"/>
        <rFont val="Times New Roman"/>
        <family val="1"/>
      </rPr>
      <t>×100%</t>
    </r>
  </si>
  <si>
    <t>满十进一</t>
  </si>
  <si>
    <t>二进制加减乘</t>
  </si>
  <si>
    <t>八进制转十进制</t>
  </si>
  <si>
    <t>用字母表示数</t>
  </si>
  <si>
    <t>代数式的值</t>
  </si>
  <si>
    <t>代入求值</t>
  </si>
  <si>
    <t>代数式的加、减法</t>
  </si>
  <si>
    <t>合并同类项</t>
  </si>
  <si>
    <t>代数式与数的乘、除法</t>
  </si>
  <si>
    <t>代数式的混合运算</t>
  </si>
  <si>
    <t>等式与不等式的概念</t>
  </si>
  <si>
    <t>等式两边相等；不等式有大小</t>
  </si>
  <si>
    <t>一元一次方程式</t>
  </si>
  <si>
    <t>一元一次方程式的应用问题</t>
  </si>
  <si>
    <t>设未知数、列方程</t>
  </si>
  <si>
    <t>比与比例的概念及其性质</t>
  </si>
  <si>
    <t>用量角器；度、分、秒</t>
  </si>
  <si>
    <t>平行：同一平面不相交</t>
  </si>
  <si>
    <t>同位角相等⇒两直线平行</t>
  </si>
  <si>
    <t>设两个未知数，列方程组</t>
  </si>
  <si>
    <r>
      <t xml:space="preserve">点 </t>
    </r>
    <r>
      <rPr>
        <sz val="13.3"/>
        <color rgb="FF0F1115"/>
        <rFont val="Times New Roman"/>
        <family val="1"/>
      </rPr>
      <t>(x,y)(</t>
    </r>
    <r>
      <rPr>
        <i/>
        <sz val="13.3"/>
        <color rgb="FF0F1115"/>
        <rFont val="KaTeX_Math"/>
      </rPr>
      <t>x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y</t>
    </r>
    <r>
      <rPr>
        <sz val="13.3"/>
        <color rgb="FF0F1115"/>
        <rFont val="Times New Roman"/>
        <family val="1"/>
      </rPr>
      <t>)</t>
    </r>
  </si>
  <si>
    <t>多项式</t>
  </si>
  <si>
    <t>单项式之和</t>
  </si>
  <si>
    <t>多项式的四则运算</t>
  </si>
  <si>
    <t>合并同类项、乘法展开</t>
  </si>
  <si>
    <t>乘法公式</t>
  </si>
  <si>
    <t>因式分解</t>
  </si>
  <si>
    <t>最高公因式与最低公倍式</t>
  </si>
  <si>
    <t>提取公因式</t>
  </si>
  <si>
    <t>平方根与算术平方根及其性质</t>
  </si>
  <si>
    <t>数的立方根</t>
  </si>
  <si>
    <t>有理数与无理数</t>
  </si>
  <si>
    <t>无理数：无限不循环小数</t>
  </si>
  <si>
    <t>二次根式的化简</t>
  </si>
  <si>
    <t>二次根式的四则运算</t>
  </si>
  <si>
    <t>分母有理化</t>
  </si>
  <si>
    <t>三角形</t>
  </si>
  <si>
    <t>三角形的内角与外角</t>
  </si>
  <si>
    <t>全等三角形</t>
  </si>
  <si>
    <t>SSS、SAS、ASA、AAS、RHS</t>
  </si>
  <si>
    <t>等腰三角形及等边三角形</t>
  </si>
  <si>
    <t>等边对等角；三线合一</t>
  </si>
  <si>
    <t>直角三角形</t>
  </si>
  <si>
    <t>两锐角互余；斜边中线=斜边一半</t>
  </si>
  <si>
    <t>四边形</t>
  </si>
  <si>
    <t>平行四边形</t>
  </si>
  <si>
    <t>对边平行且相等；对角线互相平分</t>
  </si>
  <si>
    <t>长方形</t>
  </si>
  <si>
    <t>菱形</t>
  </si>
  <si>
    <t>四边相等；对角线垂直</t>
  </si>
  <si>
    <t>正方形</t>
  </si>
  <si>
    <t>四边相等且四角直角</t>
  </si>
  <si>
    <t>风筝形</t>
  </si>
  <si>
    <t>两组邻边相等</t>
  </si>
  <si>
    <t>梯形</t>
  </si>
  <si>
    <t>四边形之间的关系</t>
  </si>
  <si>
    <t>包含关系图</t>
  </si>
  <si>
    <t>多边形</t>
  </si>
  <si>
    <t>周长</t>
  </si>
  <si>
    <t>封闭图形边长总和</t>
  </si>
  <si>
    <t>面积</t>
  </si>
  <si>
    <t>面积单位的换算</t>
  </si>
  <si>
    <t>圆</t>
  </si>
  <si>
    <t>毕氏定理</t>
  </si>
  <si>
    <t>毕氏定理的逆定理</t>
  </si>
  <si>
    <t>距离公式</t>
  </si>
  <si>
    <t>集合与元素</t>
  </si>
  <si>
    <t>有限集与基数</t>
  </si>
  <si>
    <r>
      <t>n(A)</t>
    </r>
    <r>
      <rPr>
        <i/>
        <sz val="13.3"/>
        <color rgb="FF0F1115"/>
        <rFont val="KaTeX_Math"/>
      </rPr>
      <t>n</t>
    </r>
    <r>
      <rPr>
        <sz val="13.3"/>
        <color rgb="FF0F1115"/>
        <rFont val="Times New Roman"/>
        <family val="1"/>
      </rPr>
      <t>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)</t>
    </r>
  </si>
  <si>
    <t>集合间的关系及运算</t>
  </si>
  <si>
    <r>
      <t>A∪B, A∩B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∪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, 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∩</t>
    </r>
    <r>
      <rPr>
        <i/>
        <sz val="13.3"/>
        <color rgb="FF0F1115"/>
        <rFont val="KaTeX_Math"/>
      </rPr>
      <t>B</t>
    </r>
  </si>
  <si>
    <t>泛集与余集</t>
  </si>
  <si>
    <t>两个集合联集的基数公式及其应用</t>
  </si>
  <si>
    <t>余集的基数公式及其应用</t>
  </si>
  <si>
    <t>三个集合联集的基数公式及其应用</t>
  </si>
  <si>
    <t>三集容斥公式</t>
  </si>
  <si>
    <t>一元二次方程式的解法</t>
  </si>
  <si>
    <t>设未知数，列二次方程</t>
  </si>
  <si>
    <t>一元二次函数的图像</t>
  </si>
  <si>
    <t>分式的概念与基本性质</t>
  </si>
  <si>
    <t>分母不为0</t>
  </si>
  <si>
    <t>分式的四则运算</t>
  </si>
  <si>
    <t>繁分式</t>
  </si>
  <si>
    <t>逐步化简</t>
  </si>
  <si>
    <t>分式方程式</t>
  </si>
  <si>
    <t>去分母后验根</t>
  </si>
  <si>
    <t>工程、行程、浓度</t>
  </si>
  <si>
    <t>公式</t>
  </si>
  <si>
    <t>用字母表示数量关系</t>
  </si>
  <si>
    <t>公式主项的更换</t>
  </si>
  <si>
    <t>不等式的基本性质</t>
  </si>
  <si>
    <t>乘负数不等号变向</t>
  </si>
  <si>
    <t>一元一次不等式</t>
  </si>
  <si>
    <t>一元一次不等式组</t>
  </si>
  <si>
    <t>取交集</t>
  </si>
  <si>
    <t>列不等式解范围</t>
  </si>
  <si>
    <t>初二</t>
  </si>
  <si>
    <t>.</t>
  </si>
  <si>
    <t>初三</t>
  </si>
  <si>
    <t>知识点</t>
  </si>
  <si>
    <t>正变</t>
  </si>
  <si>
    <t>反变</t>
  </si>
  <si>
    <t>联变</t>
  </si>
  <si>
    <t>零指数幂与负整数指数幂</t>
  </si>
  <si>
    <t>分数指数幂</t>
  </si>
  <si>
    <t>简易指数方程式</t>
  </si>
  <si>
    <t>对数的定义与性质</t>
  </si>
  <si>
    <t>统计学的基本概念</t>
  </si>
  <si>
    <t>总体、样本、数据</t>
  </si>
  <si>
    <t>频数分配表</t>
  </si>
  <si>
    <t>频数、频率</t>
  </si>
  <si>
    <t>统计图</t>
  </si>
  <si>
    <t>条形图、折线图、饼图</t>
  </si>
  <si>
    <t>累积频数分配表与累积频数多边形</t>
  </si>
  <si>
    <t>累积频数</t>
  </si>
  <si>
    <t>集中趋势</t>
  </si>
  <si>
    <t>平均数、中位数、众数</t>
  </si>
  <si>
    <t>四分位数</t>
  </si>
  <si>
    <t>相似形</t>
  </si>
  <si>
    <t>对应角相等、对应边成比例</t>
  </si>
  <si>
    <t>相似三角形的判定与应用</t>
  </si>
  <si>
    <t>AA、SAS、SSS</t>
  </si>
  <si>
    <t>相似形的面积比</t>
  </si>
  <si>
    <t>基本概念</t>
  </si>
  <si>
    <t>表面积、体积</t>
  </si>
  <si>
    <t>表面积、体积及其单位的换算</t>
  </si>
  <si>
    <r>
      <t>1 m3=1000 L1 m</t>
    </r>
    <r>
      <rPr>
        <sz val="7.7"/>
        <color theme="1"/>
        <rFont val="Times New Roman"/>
        <family val="1"/>
      </rPr>
      <t>3</t>
    </r>
    <r>
      <rPr>
        <sz val="13.3"/>
        <color theme="1"/>
        <rFont val="Times New Roman"/>
        <family val="1"/>
      </rPr>
      <t>=1000 L</t>
    </r>
  </si>
  <si>
    <t>平面展开图</t>
  </si>
  <si>
    <t>展开图还原立体</t>
  </si>
  <si>
    <t>棱柱</t>
  </si>
  <si>
    <t>直圆柱</t>
  </si>
  <si>
    <t>棱锥</t>
  </si>
  <si>
    <t>直圆锥</t>
  </si>
  <si>
    <t>球</t>
  </si>
  <si>
    <t>锐角的三角函数</t>
  </si>
  <si>
    <t>特别角的三角函数值</t>
  </si>
  <si>
    <t>已知一个三角函数值，求其它三角函数值</t>
  </si>
  <si>
    <t>三角函数的应用</t>
  </si>
  <si>
    <t>测高、测距</t>
  </si>
  <si>
    <t>圆心角</t>
  </si>
  <si>
    <t>圆心角=所对弧的度数</t>
  </si>
  <si>
    <t>圆周角</t>
  </si>
  <si>
    <t>圆周角=同弧圆心角的一半</t>
  </si>
  <si>
    <t>垂径定理</t>
  </si>
  <si>
    <t>垂直于弦的直径平分弦</t>
  </si>
  <si>
    <t>圆内接四边形</t>
  </si>
  <si>
    <t>直线与圆的关系</t>
  </si>
  <si>
    <t>相交、相切、相离</t>
  </si>
  <si>
    <t>弦切角</t>
  </si>
  <si>
    <t>弦切角=所夹弧的圆周角</t>
  </si>
  <si>
    <t>轨迹</t>
  </si>
  <si>
    <t>到定点等距的点的轨迹</t>
  </si>
  <si>
    <t>圆的作图</t>
  </si>
  <si>
    <t>已知圆心半径作圆</t>
  </si>
  <si>
    <t>垂线的作图</t>
  </si>
  <si>
    <t>过点作垂线</t>
  </si>
  <si>
    <t>角及角平分线的作图</t>
  </si>
  <si>
    <t>尺规作角平分线</t>
  </si>
  <si>
    <t>三角形的作图</t>
  </si>
  <si>
    <t>SSS、SAS、ASA 作图</t>
  </si>
  <si>
    <t>平行线的作图</t>
  </si>
  <si>
    <t>同位角相等作平行</t>
  </si>
  <si>
    <t>三角形的外接圆与内切圆的作图</t>
  </si>
  <si>
    <t>外心、内心</t>
  </si>
  <si>
    <t>正多边形的作图</t>
  </si>
  <si>
    <t>圆内接正多边形</t>
  </si>
  <si>
    <t>反射</t>
  </si>
  <si>
    <t>关于直线对称</t>
  </si>
  <si>
    <t>平移</t>
  </si>
  <si>
    <t>图形平移</t>
  </si>
  <si>
    <t>旋转</t>
  </si>
  <si>
    <t>旋转中心、旋转角</t>
  </si>
  <si>
    <t>放大</t>
  </si>
  <si>
    <t>位似放大</t>
  </si>
  <si>
    <t>x=(-b)</t>
  </si>
  <si>
    <t>高一</t>
  </si>
  <si>
    <t>定比分点</t>
  </si>
  <si>
    <t>分点坐标公式</t>
  </si>
  <si>
    <t>多边形的面积</t>
  </si>
  <si>
    <t>坐标法求面积</t>
  </si>
  <si>
    <t>直线的斜率</t>
  </si>
  <si>
    <t>直线方程式</t>
  </si>
  <si>
    <t>两直线的位置关系</t>
  </si>
  <si>
    <t>点到直线的距离</t>
  </si>
  <si>
    <t>一元二次方程式的根的判别式</t>
  </si>
  <si>
    <t>一元二次方程式的根与系数的关系</t>
  </si>
  <si>
    <t>二次函数的图像与最值</t>
  </si>
  <si>
    <t>一元二次函数的图像与直线的位置关系</t>
  </si>
  <si>
    <t>联立方程判别式</t>
  </si>
  <si>
    <r>
      <t xml:space="preserve">系数 </t>
    </r>
    <r>
      <rPr>
        <sz val="13.3"/>
        <color rgb="FF0F1115"/>
        <rFont val="Times New Roman"/>
        <family val="1"/>
      </rPr>
      <t>a,b,c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c</t>
    </r>
    <r>
      <rPr>
        <sz val="11"/>
        <color rgb="FF0F1115"/>
        <rFont val="Segoe UI"/>
        <family val="2"/>
      </rPr>
      <t xml:space="preserve"> 变化对 </t>
    </r>
    <r>
      <rPr>
        <sz val="13.3"/>
        <color rgb="FF0F1115"/>
        <rFont val="Times New Roman"/>
        <family val="1"/>
      </rPr>
      <t>y=ax2+bx+c</t>
    </r>
    <r>
      <rPr>
        <i/>
        <sz val="13.3"/>
        <color rgb="FF0F1115"/>
        <rFont val="KaTeX_Math"/>
      </rPr>
      <t>y</t>
    </r>
    <r>
      <rPr>
        <sz val="13.3"/>
        <color rgb="FF0F1115"/>
        <rFont val="Times New Roman"/>
        <family val="1"/>
      </rPr>
      <t>=</t>
    </r>
    <r>
      <rPr>
        <i/>
        <sz val="13.3"/>
        <color rgb="FF0F1115"/>
        <rFont val="KaTeX_Math"/>
      </rPr>
      <t>ax</t>
    </r>
    <r>
      <rPr>
        <sz val="7.7"/>
        <color rgb="FF0F1115"/>
        <rFont val="Times New Roman"/>
        <family val="1"/>
      </rPr>
      <t>2</t>
    </r>
    <r>
      <rPr>
        <sz val="13.3"/>
        <color rgb="FF0F1115"/>
        <rFont val="Times New Roman"/>
        <family val="1"/>
      </rPr>
      <t>+</t>
    </r>
    <r>
      <rPr>
        <i/>
        <sz val="13.3"/>
        <color rgb="FF0F1115"/>
        <rFont val="KaTeX_Math"/>
      </rPr>
      <t>bx</t>
    </r>
    <r>
      <rPr>
        <sz val="13.3"/>
        <color rgb="FF0F1115"/>
        <rFont val="Times New Roman"/>
        <family val="1"/>
      </rPr>
      <t>+</t>
    </r>
    <r>
      <rPr>
        <i/>
        <sz val="13.3"/>
        <color rgb="FF0F1115"/>
        <rFont val="KaTeX_Math"/>
      </rPr>
      <t>c</t>
    </r>
    <r>
      <rPr>
        <sz val="11"/>
        <color rgb="FF0F1115"/>
        <rFont val="Segoe UI"/>
        <family val="2"/>
      </rPr>
      <t xml:space="preserve"> 图像的影响</t>
    </r>
  </si>
  <si>
    <t>次数、系数</t>
  </si>
  <si>
    <t>余式定理</t>
  </si>
  <si>
    <r>
      <t>f(a)</t>
    </r>
    <r>
      <rPr>
        <i/>
        <sz val="13.3"/>
        <color rgb="FF0F1115"/>
        <rFont val="KaTeX_Math"/>
      </rPr>
      <t>f</t>
    </r>
    <r>
      <rPr>
        <sz val="13.3"/>
        <color rgb="FF0F1115"/>
        <rFont val="Times New Roman"/>
        <family val="1"/>
      </rPr>
      <t>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)</t>
    </r>
    <r>
      <rPr>
        <sz val="11"/>
        <color rgb="FF0F1115"/>
        <rFont val="Segoe UI"/>
        <family val="2"/>
      </rPr>
      <t xml:space="preserve"> 为除以 </t>
    </r>
    <r>
      <rPr>
        <sz val="13.3"/>
        <color rgb="FF0F1115"/>
        <rFont val="Times New Roman"/>
        <family val="1"/>
      </rPr>
      <t>x−a</t>
    </r>
    <r>
      <rPr>
        <i/>
        <sz val="13.3"/>
        <color rgb="FF0F1115"/>
        <rFont val="KaTeX_Math"/>
      </rPr>
      <t>x</t>
    </r>
    <r>
      <rPr>
        <sz val="13.3"/>
        <color rgb="FF0F1115"/>
        <rFont val="Times New Roman"/>
        <family val="1"/>
      </rPr>
      <t>−</t>
    </r>
    <r>
      <rPr>
        <i/>
        <sz val="13.3"/>
        <color rgb="FF0F1115"/>
        <rFont val="KaTeX_Math"/>
      </rPr>
      <t>a</t>
    </r>
    <r>
      <rPr>
        <sz val="11"/>
        <color rgb="FF0F1115"/>
        <rFont val="Segoe UI"/>
        <family val="2"/>
      </rPr>
      <t xml:space="preserve"> 的余数</t>
    </r>
  </si>
  <si>
    <t>因式定理</t>
  </si>
  <si>
    <t>一元多项式的因式分解</t>
  </si>
  <si>
    <t>综合除法</t>
  </si>
  <si>
    <t>解一元高次方程</t>
  </si>
  <si>
    <t>因式分解降次</t>
  </si>
  <si>
    <t>根式</t>
  </si>
  <si>
    <t>分数指数</t>
  </si>
  <si>
    <t>根式的运算</t>
  </si>
  <si>
    <t>有理化因式及有理化分母</t>
  </si>
  <si>
    <t>函数</t>
  </si>
  <si>
    <t>函数的定义域与值域</t>
  </si>
  <si>
    <t>定义域、值域</t>
  </si>
  <si>
    <t>函数的图像</t>
  </si>
  <si>
    <t>图像与性质</t>
  </si>
  <si>
    <t>合成函数</t>
  </si>
  <si>
    <t>一一映射函数</t>
  </si>
  <si>
    <t>单射、满射</t>
  </si>
  <si>
    <t>反函数</t>
  </si>
  <si>
    <t>不等式及其性质</t>
  </si>
  <si>
    <t>乘负数变向</t>
  </si>
  <si>
    <t>一元二次不等式</t>
  </si>
  <si>
    <t>结合抛物线解集</t>
  </si>
  <si>
    <t>一元高次不等式与分式不等式</t>
  </si>
  <si>
    <t>数轴标根法</t>
  </si>
  <si>
    <t>含绝对值的不等式</t>
  </si>
  <si>
    <t>二元一次不等式</t>
  </si>
  <si>
    <t>半平面</t>
  </si>
  <si>
    <t>线性规划</t>
  </si>
  <si>
    <t>可行域、目标函数</t>
  </si>
  <si>
    <t>命题</t>
  </si>
  <si>
    <t>真命题、假命题</t>
  </si>
  <si>
    <t>逻辑联结词“非”、“且”、“或”</t>
  </si>
  <si>
    <t>全称量词与存在量词</t>
  </si>
  <si>
    <t>充分条件、必要条件及充要条件</t>
  </si>
  <si>
    <t>推理</t>
  </si>
  <si>
    <t>演绎推理</t>
  </si>
  <si>
    <t>任意角的概念与度量</t>
  </si>
  <si>
    <t>角度制、弧度制</t>
  </si>
  <si>
    <t>弧长与扇形面积</t>
  </si>
  <si>
    <t>任意角的三角函数</t>
  </si>
  <si>
    <t>单位圆定义</t>
  </si>
  <si>
    <t>三角函数的诱导公式</t>
  </si>
  <si>
    <t>三角函数的图像</t>
  </si>
  <si>
    <t>正弦、余弦、正切图像</t>
  </si>
  <si>
    <t>反三角函数</t>
  </si>
  <si>
    <t>正弦定律</t>
  </si>
  <si>
    <t>余弦定律</t>
  </si>
  <si>
    <t>三角形的面积</t>
  </si>
  <si>
    <t>测量问题</t>
  </si>
  <si>
    <t>同角三角函数的基本关系式</t>
  </si>
  <si>
    <t>两角之和与差的三角函数</t>
  </si>
  <si>
    <t>倍角的三角函数</t>
  </si>
  <si>
    <t>三角方程式</t>
  </si>
  <si>
    <t>指数函数</t>
  </si>
  <si>
    <t>对数函数</t>
  </si>
  <si>
    <t>指数方程式与对数方程式</t>
  </si>
  <si>
    <t>同底化、换底</t>
  </si>
  <si>
    <t>数列与级数</t>
  </si>
  <si>
    <t>等比数列与等比级数</t>
  </si>
  <si>
    <t>复利与年金</t>
  </si>
  <si>
    <t>特殊级数的和</t>
  </si>
  <si>
    <t>id</t>
  </si>
  <si>
    <t>j1</t>
  </si>
  <si>
    <t>Numbers and Algebra – Numbers and Operations</t>
  </si>
  <si>
    <t>Numbers and Algebra—Number Theory</t>
  </si>
  <si>
    <t>Numbers and Algebra – Sequences</t>
  </si>
  <si>
    <t>Numbers and Algebra – Fractions</t>
  </si>
  <si>
    <t>Numbers and Algebra – Decimals</t>
  </si>
  <si>
    <t>Shapes and Geometry – Units of Measurement</t>
  </si>
  <si>
    <t>Numbers and Algebra — Percentages</t>
  </si>
  <si>
    <t>Numbers and Algebra – Numeral Systems</t>
  </si>
  <si>
    <t>Numbers and Algebra — Algebraic Expressions</t>
  </si>
  <si>
    <t>Numbers and Algebra — Equations and Inequalities</t>
  </si>
  <si>
    <t>Numbers and Algebra – Ratios and Proportions</t>
  </si>
  <si>
    <t>Numbers and Algebra—Functions</t>
  </si>
  <si>
    <t>Shapes and Geometry – Recognizing Shapes</t>
  </si>
  <si>
    <t>Shapes and Geometry: Translation, Rotation, and Symmetry</t>
  </si>
  <si>
    <t>Shapes and Geometry – Lines and Angles</t>
  </si>
  <si>
    <t>Numbers and Algebra – Systems of Equations</t>
  </si>
  <si>
    <t>Shapes and Geometry – Coordinate Geometry</t>
  </si>
  <si>
    <t>Numbers and Algebra — Real Numbers</t>
  </si>
  <si>
    <t>Shapes and Geometry – Trigonometry</t>
  </si>
  <si>
    <t>Numbers and Algebra — Rational Expressions</t>
  </si>
  <si>
    <t>Numbers and Algebra – Sets and Logic</t>
  </si>
  <si>
    <t>Numbers and Algebra – Exponents and Logarithms</t>
  </si>
  <si>
    <t>Shapes and Geometry—Triangles</t>
  </si>
  <si>
    <t>Shapes and Geometry – Quadrilaterals and Polygons</t>
  </si>
  <si>
    <t>Shapes and Geometry – Perimeter and Area</t>
  </si>
  <si>
    <t>Shapes and Geometry—Circles</t>
  </si>
  <si>
    <t>Statistics and Probability – Statistics</t>
  </si>
  <si>
    <t>Shapes and Geometry—Similarity and Congruence</t>
  </si>
  <si>
    <t>Shapes and Geometry – 3D Shapes</t>
  </si>
  <si>
    <t>Shapes and Geometry—Geometric Construction</t>
  </si>
  <si>
    <t>找规律</t>
  </si>
  <si>
    <t>二进制转十进制</t>
  </si>
  <si>
    <t>a∈A</t>
  </si>
  <si>
    <t xml:space="preserve">sin x =对/斜,cos x =邻/斜,tan x =对/邻 </t>
  </si>
  <si>
    <r>
      <t xml:space="preserve">内角和 </t>
    </r>
    <r>
      <rPr>
        <sz val="13.3"/>
        <color rgb="FF0F1115"/>
        <rFont val="Times New Roman"/>
        <family val="1"/>
      </rPr>
      <t>360°</t>
    </r>
  </si>
  <si>
    <r>
      <t xml:space="preserve">内角和 </t>
    </r>
    <r>
      <rPr>
        <sz val="13.3"/>
        <color rgb="FF0F1115"/>
        <rFont val="Times New Roman"/>
        <family val="1"/>
      </rPr>
      <t>180°</t>
    </r>
    <r>
      <rPr>
        <sz val="11"/>
        <color rgb="FF0F1115"/>
        <rFont val="Segoe UI"/>
        <family val="2"/>
      </rPr>
      <t>；外角=不相邻两内角和</t>
    </r>
  </si>
  <si>
    <t>a**n=a**1/n</t>
  </si>
  <si>
    <t>ab=ab</t>
  </si>
  <si>
    <r>
      <t xml:space="preserve">周长 </t>
    </r>
    <r>
      <rPr>
        <sz val="13.3"/>
        <color rgb="FF0F1115"/>
        <rFont val="Times New Roman"/>
        <family val="1"/>
      </rPr>
      <t xml:space="preserve">2πr </t>
    </r>
    <r>
      <rPr>
        <sz val="11"/>
        <color rgb="FF0F1115"/>
        <rFont val="Segoe UI"/>
        <family val="2"/>
      </rPr>
      <t xml:space="preserve">；面积 </t>
    </r>
    <r>
      <rPr>
        <sz val="13.3"/>
        <color rgb="FF0F1115"/>
        <rFont val="Times New Roman"/>
        <family val="1"/>
      </rPr>
      <t>πr**2</t>
    </r>
  </si>
  <si>
    <t>长方形面积=长乘宽 ；三角形面积=1/2乘底乘高</t>
  </si>
  <si>
    <r>
      <t xml:space="preserve">对角和 </t>
    </r>
    <r>
      <rPr>
        <sz val="13.3"/>
        <color theme="1"/>
        <rFont val="Times New Roman"/>
        <family val="1"/>
      </rPr>
      <t>180°</t>
    </r>
  </si>
  <si>
    <r>
      <t>特殊角 30°,45°,60°</t>
    </r>
    <r>
      <rPr>
        <sz val="11"/>
        <color theme="1"/>
        <rFont val="Segoe UI"/>
        <family val="2"/>
      </rPr>
      <t>的值</t>
    </r>
  </si>
  <si>
    <t>V=4**3πr**3, S=4πr**2</t>
  </si>
  <si>
    <t xml:space="preserve">V=1/3πr**2h </t>
  </si>
  <si>
    <t>V=1/3 乘底面积乘高</t>
  </si>
  <si>
    <r>
      <t xml:space="preserve">V=πr**2h </t>
    </r>
    <r>
      <rPr>
        <sz val="11"/>
        <color theme="1"/>
        <rFont val="Segoe UI"/>
        <family val="2"/>
      </rPr>
      <t xml:space="preserve">；侧面积 </t>
    </r>
    <r>
      <rPr>
        <sz val="13.3"/>
        <color theme="1"/>
        <rFont val="Times New Roman"/>
        <family val="1"/>
      </rPr>
      <t>2πrh</t>
    </r>
  </si>
  <si>
    <t>V=底面积乘h</t>
  </si>
  <si>
    <t xml:space="preserve">面积比 </t>
  </si>
  <si>
    <t xml:space="preserve">log a(MN)=log⁡aM+log aN </t>
  </si>
  <si>
    <t>y=kx</t>
  </si>
  <si>
    <t>y=kxz</t>
  </si>
  <si>
    <r>
      <t>a**0=1, a**−n=1/a**n</t>
    </r>
    <r>
      <rPr>
        <sz val="1"/>
        <color theme="1"/>
        <rFont val="Times New Roman"/>
        <family val="1"/>
      </rPr>
      <t>​</t>
    </r>
  </si>
  <si>
    <t>ax=ay⇒x=y</t>
  </si>
  <si>
    <r>
      <t xml:space="preserve">平行 </t>
    </r>
    <r>
      <rPr>
        <sz val="13.3"/>
        <color rgb="FF0F1115"/>
        <rFont val="Times New Roman"/>
        <family val="1"/>
      </rPr>
      <t xml:space="preserve">k1=k2  </t>
    </r>
    <r>
      <rPr>
        <sz val="1"/>
        <color rgb="FF0F1115"/>
        <rFont val="Times New Roman"/>
        <family val="1"/>
      </rPr>
      <t>​</t>
    </r>
    <r>
      <rPr>
        <sz val="11"/>
        <color rgb="FF0F1115"/>
        <rFont val="Segoe UI"/>
        <family val="2"/>
      </rPr>
      <t xml:space="preserve">；垂直 </t>
    </r>
    <r>
      <rPr>
        <sz val="13.3"/>
        <color rgb="FF0F1115"/>
        <rFont val="Times New Roman"/>
        <family val="1"/>
      </rPr>
      <t>k1*k2=−1*</t>
    </r>
    <r>
      <rPr>
        <i/>
        <sz val="13.3"/>
        <color rgb="FF0F1115"/>
        <rFont val="KaTeX_Math"/>
      </rPr>
      <t>k1*k2</t>
    </r>
  </si>
  <si>
    <t>x1+x2=−ba</t>
  </si>
  <si>
    <r>
      <t>f(a)=0⇒(x−a)</t>
    </r>
    <r>
      <rPr>
        <sz val="11"/>
        <color rgb="FF0F1115"/>
        <rFont val="Segoe UI"/>
        <family val="2"/>
      </rPr>
      <t xml:space="preserve"> 因式</t>
    </r>
  </si>
  <si>
    <t>​</t>
  </si>
  <si>
    <t>a**b=a**1/b</t>
  </si>
  <si>
    <r>
      <t xml:space="preserve">顶点 </t>
    </r>
    <r>
      <rPr>
        <i/>
        <sz val="13.3"/>
        <color rgb="FF0F1115"/>
        <rFont val="KaTeX_Math"/>
      </rPr>
      <t>x</t>
    </r>
    <r>
      <rPr>
        <sz val="13.3"/>
        <color rgb="FF0F1115"/>
        <rFont val="Times New Roman"/>
        <family val="1"/>
      </rPr>
      <t>=−</t>
    </r>
    <r>
      <rPr>
        <sz val="7.7"/>
        <color rgb="FF0F1115"/>
        <rFont val="Times New Roman"/>
        <family val="1"/>
      </rPr>
      <t>2</t>
    </r>
    <r>
      <rPr>
        <i/>
        <sz val="7.7"/>
        <color rgb="FF0F1115"/>
        <rFont val="KaTeX_Math"/>
      </rPr>
      <t>ab</t>
    </r>
    <r>
      <rPr>
        <sz val="1"/>
        <color rgb="FF0F1115"/>
        <rFont val="Times New Roman"/>
        <family val="1"/>
      </rPr>
      <t>​</t>
    </r>
  </si>
  <si>
    <t>a**m/n=a**n/m</t>
  </si>
  <si>
    <t>f(g(x))</t>
  </si>
  <si>
    <t>f**−1(x)</t>
  </si>
  <si>
    <t>p⇒q</t>
  </si>
  <si>
    <t xml:space="preserve">l=rθ, S=1/2*r**2*θ   </t>
  </si>
  <si>
    <t xml:space="preserve">sin⁡(π−α)=sinα    </t>
  </si>
  <si>
    <t>arcsin⁡,arccos⁡,arctan⁡</t>
  </si>
  <si>
    <t>ab/sinC=bc/sinA=ac/sinB</t>
  </si>
  <si>
    <t>a**2=b**2+c**2−2*b*c*cosA</t>
  </si>
  <si>
    <t>S=1/2*a*b*sinC⁡</t>
  </si>
  <si>
    <t xml:space="preserve">sin**2 x + cos**2 x =1  </t>
  </si>
  <si>
    <t>sin(a+b)=sin a cos b - cos a sin b</t>
  </si>
  <si>
    <t>sin2α=2sin α cos α</t>
  </si>
  <si>
    <r>
      <t xml:space="preserve">解 </t>
    </r>
    <r>
      <rPr>
        <sz val="13.3"/>
        <color rgb="FF0F1115"/>
        <rFont val="Times New Roman"/>
        <family val="1"/>
      </rPr>
      <t>sin⁡x=a</t>
    </r>
  </si>
  <si>
    <t>y=ax</t>
  </si>
  <si>
    <t>y=log a X</t>
  </si>
  <si>
    <t>an=a1+(n−1)d</t>
  </si>
  <si>
    <t>an=a1*r**n−1</t>
  </si>
  <si>
    <r>
      <t>gcd(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)×lcm(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,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)=</t>
    </r>
    <r>
      <rPr>
        <i/>
        <sz val="13.3"/>
        <color rgb="FF0F1115"/>
        <rFont val="KaTeX_Math"/>
      </rPr>
      <t>ab</t>
    </r>
  </si>
  <si>
    <t>a/b±c/d=a*d/b*d±​c*b/b*d</t>
  </si>
  <si>
    <t>0.3=1/3 ; 2/9=0.22222222…</t>
  </si>
  <si>
    <t>1 km=1000 m</t>
  </si>
  <si>
    <t>1 kg=1000 g</t>
  </si>
  <si>
    <t>1 L=1000 mL</t>
  </si>
  <si>
    <t>1 h=60 min</t>
  </si>
  <si>
    <t>p%=p/100</t>
  </si>
  <si>
    <t>a(b+c)=ab+ac</t>
  </si>
  <si>
    <t>ax+b=0⇒x=−b/a</t>
  </si>
  <si>
    <t>a:b=c:d⇒a*d=b*c</t>
  </si>
  <si>
    <t>ax+b&gt;0</t>
  </si>
  <si>
    <t>s=vt⇒t=sv</t>
  </si>
  <si>
    <t>1/x+1  →  (1+x)/x</t>
  </si>
  <si>
    <r>
      <t xml:space="preserve">抛物线顶点 </t>
    </r>
    <r>
      <rPr>
        <sz val="13.3"/>
        <color rgb="FF0F1115"/>
        <rFont val="Times New Roman"/>
        <family val="1"/>
      </rPr>
      <t>x=−2ab</t>
    </r>
  </si>
  <si>
    <r>
      <rPr>
        <i/>
        <sz val="13.3"/>
        <color rgb="FF0F1115"/>
        <rFont val="KaTeX_Math"/>
      </rPr>
      <t>n</t>
    </r>
    <r>
      <rPr>
        <sz val="13.3"/>
        <color rgb="FF0F1115"/>
        <rFont val="Times New Roman"/>
        <family val="1"/>
      </rPr>
      <t>(</t>
    </r>
    <r>
      <rPr>
        <i/>
        <sz val="13.3"/>
        <color rgb="FF0F1115"/>
        <rFont val="KaTeX_Math"/>
      </rPr>
      <t>A</t>
    </r>
    <r>
      <rPr>
        <i/>
        <sz val="7.7"/>
        <color rgb="FF0F1115"/>
        <rFont val="KaTeX_Math"/>
      </rPr>
      <t>c</t>
    </r>
    <r>
      <rPr>
        <sz val="13.3"/>
        <color rgb="FF0F1115"/>
        <rFont val="Times New Roman"/>
        <family val="1"/>
      </rPr>
      <t>)=</t>
    </r>
    <r>
      <rPr>
        <i/>
        <sz val="13.3"/>
        <color rgb="FF0F1115"/>
        <rFont val="KaTeX_Math"/>
      </rPr>
      <t>n</t>
    </r>
    <r>
      <rPr>
        <sz val="13.3"/>
        <color rgb="FF0F1115"/>
        <rFont val="Times New Roman"/>
        <family val="1"/>
      </rPr>
      <t>(</t>
    </r>
    <r>
      <rPr>
        <i/>
        <sz val="13.3"/>
        <color rgb="FF0F1115"/>
        <rFont val="KaTeX_Math"/>
      </rPr>
      <t>U</t>
    </r>
    <r>
      <rPr>
        <sz val="13.3"/>
        <color rgb="FF0F1115"/>
        <rFont val="Times New Roman"/>
        <family val="1"/>
      </rPr>
      <t>)−</t>
    </r>
    <r>
      <rPr>
        <i/>
        <sz val="13.3"/>
        <color rgb="FF0F1115"/>
        <rFont val="KaTeX_Math"/>
      </rPr>
      <t>n</t>
    </r>
    <r>
      <rPr>
        <sz val="13.3"/>
        <color rgb="FF0F1115"/>
        <rFont val="Times New Roman"/>
        <family val="1"/>
      </rPr>
      <t>(</t>
    </r>
    <r>
      <rPr>
        <i/>
        <sz val="13.3"/>
        <color rgb="FF0F1115"/>
        <rFont val="KaTeX_Math"/>
      </rPr>
      <t>A</t>
    </r>
    <r>
      <rPr>
        <sz val="13.3"/>
        <color rgb="FF0F1115"/>
        <rFont val="Times New Roman"/>
        <family val="1"/>
      </rPr>
      <t>)</t>
    </r>
  </si>
  <si>
    <t>n(A∪B)=n(A)+n(B)−n(A∩B)</t>
  </si>
  <si>
    <r>
      <t>根号((x2−x1)+(y2−y1))</t>
    </r>
    <r>
      <rPr>
        <sz val="1"/>
        <color rgb="FF0F1115"/>
        <rFont val="Times New Roman"/>
        <family val="1"/>
      </rPr>
      <t>​</t>
    </r>
  </si>
  <si>
    <r>
      <t xml:space="preserve">若 </t>
    </r>
    <r>
      <rPr>
        <sz val="13.3"/>
        <color rgb="FF0F1115"/>
        <rFont val="Times New Roman"/>
        <family val="1"/>
      </rPr>
      <t>a**2+b**2=c**2</t>
    </r>
    <r>
      <rPr>
        <sz val="11"/>
        <color rgb="FF0F1115"/>
        <rFont val="Segoe UI"/>
        <family val="2"/>
      </rPr>
      <t>，则为直角三角形</t>
    </r>
  </si>
  <si>
    <t>a**2+b**2=c**2</t>
  </si>
  <si>
    <r>
      <t xml:space="preserve">内角和 </t>
    </r>
    <r>
      <rPr>
        <sz val="13.3"/>
        <color rgb="FF0F1115"/>
        <rFont val="Times New Roman"/>
        <family val="1"/>
      </rPr>
      <t>(n−2)180°</t>
    </r>
  </si>
  <si>
    <t>面积 1/2乘(上底加下底)乘高</t>
  </si>
  <si>
    <r>
      <t xml:space="preserve">面积 </t>
    </r>
    <r>
      <rPr>
        <i/>
        <sz val="13.3"/>
        <color rgb="FF0F1115"/>
        <rFont val="KaTeX_Math"/>
      </rPr>
      <t>ab</t>
    </r>
    <r>
      <rPr>
        <sz val="11"/>
        <color rgb="FF0F1115"/>
        <rFont val="Segoe UI"/>
        <family val="2"/>
      </rPr>
      <t>；对角线相等</t>
    </r>
  </si>
  <si>
    <r>
      <t>三边关系：</t>
    </r>
    <r>
      <rPr>
        <sz val="13.3"/>
        <color rgb="FF0F1115"/>
        <rFont val="Times New Roman"/>
        <family val="1"/>
      </rPr>
      <t>a+b&gt;c  c+</t>
    </r>
    <r>
      <rPr>
        <i/>
        <sz val="13.3"/>
        <color rgb="FF0F1115"/>
        <rFont val="KaTeX_Math"/>
      </rPr>
      <t>b</t>
    </r>
    <r>
      <rPr>
        <sz val="13.3"/>
        <color rgb="FF0F1115"/>
        <rFont val="Times New Roman"/>
        <family val="1"/>
      </rPr>
      <t>&gt;a  a+c&gt;b</t>
    </r>
  </si>
  <si>
    <t>(a±b)**2=a**2±2ab+b**2</t>
  </si>
  <si>
    <t>a**2−b**2=(a+b)(a−b)</t>
  </si>
  <si>
    <r>
      <t>用</t>
    </r>
    <r>
      <rPr>
        <sz val="13.3"/>
        <color theme="1"/>
        <rFont val="Times New Roman"/>
        <family val="1"/>
      </rPr>
      <t>sin**</t>
    </r>
    <r>
      <rPr>
        <sz val="7.7"/>
        <color theme="1"/>
        <rFont val="Times New Roman"/>
        <family val="1"/>
      </rPr>
      <t xml:space="preserve">2 x </t>
    </r>
    <r>
      <rPr>
        <sz val="13.3"/>
        <color theme="1"/>
        <rFont val="Times New Roman"/>
        <family val="1"/>
      </rPr>
      <t>+cos**</t>
    </r>
    <r>
      <rPr>
        <sz val="7.7"/>
        <color theme="1"/>
        <rFont val="Times New Roman"/>
        <family val="1"/>
      </rPr>
      <t xml:space="preserve">2 x </t>
    </r>
    <r>
      <rPr>
        <sz val="13.3"/>
        <color theme="1"/>
        <rFont val="Times New Roman"/>
        <family val="1"/>
      </rPr>
      <t>= 1</t>
    </r>
  </si>
  <si>
    <t>m=(y2−y1)/(x2−x1)</t>
  </si>
  <si>
    <t>Δ=b**2−4ac</t>
  </si>
  <si>
    <t xml:space="preserve">y=f(x) </t>
  </si>
  <si>
    <t>A=P(1+r)n</t>
  </si>
  <si>
    <t>等差数列与等差级列</t>
  </si>
  <si>
    <r>
      <t>a正号=</t>
    </r>
    <r>
      <rPr>
        <sz val="11"/>
        <color rgb="FF0F1115"/>
        <rFont val="Segoe UI"/>
        <family val="2"/>
      </rPr>
      <t>开口朝上，</t>
    </r>
    <r>
      <rPr>
        <sz val="13.3"/>
        <color rgb="FF0F1115"/>
        <rFont val="Times New Roman"/>
        <family val="1"/>
      </rPr>
      <t>c=y</t>
    </r>
    <r>
      <rPr>
        <sz val="11"/>
        <color rgb="FF0F1115"/>
        <rFont val="Segoe UI"/>
        <family val="2"/>
      </rPr>
      <t>截距</t>
    </r>
  </si>
  <si>
    <t>y−y1=m(x−x1)</t>
  </si>
  <si>
    <r>
      <t xml:space="preserve">a/b×c/d=ac/bd </t>
    </r>
    <r>
      <rPr>
        <sz val="1"/>
        <color rgb="FF0F1115"/>
        <rFont val="Times New Roman"/>
        <family val="1"/>
      </rPr>
      <t>​</t>
    </r>
  </si>
  <si>
    <t>a+b=b+a, (a+b)c=ac+bc</t>
  </si>
  <si>
    <t>2n,2n+1</t>
  </si>
  <si>
    <t xml:space="preserve">a/b=a×k/b×k   </t>
  </si>
  <si>
    <r>
      <t xml:space="preserve">正比 </t>
    </r>
    <r>
      <rPr>
        <sz val="13.3"/>
        <color rgb="FF0F1115"/>
        <rFont val="Times New Roman"/>
        <family val="1"/>
      </rPr>
      <t>y=kx</t>
    </r>
    <r>
      <rPr>
        <sz val="11"/>
        <color rgb="FF0F1115"/>
        <rFont val="Segoe UI"/>
        <family val="2"/>
      </rPr>
      <t xml:space="preserve">；反比 </t>
    </r>
    <r>
      <rPr>
        <sz val="13.3"/>
        <color rgb="FF0F1115"/>
        <rFont val="Times New Roman"/>
        <family val="1"/>
      </rPr>
      <t>y=kx</t>
    </r>
  </si>
  <si>
    <r>
      <t>ax+by=c</t>
    </r>
    <r>
      <rPr>
        <sz val="11"/>
        <color rgb="FF0F1115"/>
        <rFont val="Segoe UI"/>
        <family val="2"/>
      </rPr>
      <t xml:space="preserve"> 表示直线</t>
    </r>
  </si>
  <si>
    <r>
      <t>1 m**</t>
    </r>
    <r>
      <rPr>
        <sz val="7.7"/>
        <color rgb="FF0F1115"/>
        <rFont val="Times New Roman"/>
        <family val="1"/>
      </rPr>
      <t>2</t>
    </r>
    <r>
      <rPr>
        <sz val="13.3"/>
        <color rgb="FF0F1115"/>
        <rFont val="Times New Roman"/>
        <family val="1"/>
      </rPr>
      <t>=10000 cm**</t>
    </r>
    <r>
      <rPr>
        <sz val="7.7"/>
        <color rgb="FF0F1115"/>
        <rFont val="Times New Roman"/>
        <family val="1"/>
      </rPr>
      <t>2</t>
    </r>
  </si>
  <si>
    <t>∑n,∑n2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</si>
</sst>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34"/>
      <scheme val="minor"/>
    </font>
    <font>
      <sz val="12"/>
      <color theme="1"/>
      <name val="DengXian"/>
    </font>
    <font>
      <sz val="11"/>
      <color rgb="FF0F1115"/>
      <name val="Segoe UI"/>
      <family val="2"/>
    </font>
    <font>
      <sz val="13.3"/>
      <color rgb="FF0F1115"/>
      <name val="Times New Roman"/>
      <family val="1"/>
    </font>
    <font>
      <i/>
      <sz val="13.3"/>
      <color rgb="FF0F1115"/>
      <name val="KaTeX_Math"/>
    </font>
    <font>
      <sz val="7.7"/>
      <color rgb="FF0F1115"/>
      <name val="Times New Roman"/>
      <family val="1"/>
    </font>
    <font>
      <i/>
      <sz val="7.7"/>
      <color rgb="FF0F1115"/>
      <name val="KaTeX_Math"/>
    </font>
    <font>
      <sz val="1"/>
      <color rgb="FF0F1115"/>
      <name val="Times New Roman"/>
      <family val="1"/>
    </font>
    <font>
      <b/>
      <sz val="17"/>
      <color rgb="FF0F1115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2"/>
    </font>
    <font>
      <sz val="13.3"/>
      <color theme="1"/>
      <name val="Times New Roman"/>
      <family val="1"/>
    </font>
    <font>
      <sz val="7.7"/>
      <color theme="1"/>
      <name val="Times New Roman"/>
      <family val="1"/>
    </font>
    <font>
      <sz val="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Segoe UI"/>
      <family val="2"/>
    </font>
    <font>
      <sz val="11"/>
      <color rgb="FF0F1115"/>
      <name val="Segoe UI"/>
      <family val="2"/>
    </font>
    <font>
      <sz val="13.5"/>
      <color rgb="FF0F11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1" fillId="3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2" borderId="1" xfId="0" applyFill="1" applyBorder="1"/>
    <xf numFmtId="0" fontId="2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2" borderId="1" xfId="0" applyFill="1" applyBorder="1" applyProtection="1">
      <protection locked="0"/>
    </xf>
    <xf numFmtId="0" fontId="2" fillId="3" borderId="1" xfId="0" applyFont="1" applyFill="1" applyBorder="1" applyAlignment="1" applyProtection="1">
      <alignment vertical="center" wrapText="1"/>
      <protection locked="0"/>
    </xf>
    <xf numFmtId="0" fontId="3" fillId="3" borderId="1" xfId="0" applyFont="1" applyFill="1" applyBorder="1" applyAlignment="1" applyProtection="1">
      <alignment vertical="center" wrapText="1"/>
      <protection locked="0"/>
    </xf>
    <xf numFmtId="0" fontId="10" fillId="3" borderId="1" xfId="0" applyFont="1" applyFill="1" applyBorder="1" applyAlignment="1" applyProtection="1">
      <alignment vertical="center" wrapText="1"/>
      <protection locked="0"/>
    </xf>
    <xf numFmtId="0" fontId="11" fillId="3" borderId="1" xfId="0" applyFont="1" applyFill="1" applyBorder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0" fontId="17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left" vertical="center" wrapText="1"/>
      <protection locked="0"/>
    </xf>
    <xf numFmtId="0" fontId="9" fillId="3" borderId="1" xfId="0" applyFont="1" applyFill="1" applyBorder="1" applyAlignment="1" applyProtection="1">
      <alignment vertical="center" wrapText="1"/>
      <protection locked="0"/>
    </xf>
    <xf numFmtId="0" fontId="7" fillId="3" borderId="1" xfId="0" applyFont="1" applyFill="1" applyBorder="1" applyAlignment="1">
      <alignment vertical="center"/>
    </xf>
    <xf numFmtId="0" fontId="18" fillId="3" borderId="1" xfId="0" applyFont="1" applyFill="1" applyBorder="1" applyAlignment="1" applyProtection="1">
      <alignment vertical="center" wrapText="1"/>
      <protection locked="0"/>
    </xf>
    <xf numFmtId="0" fontId="17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 applyProtection="1">
      <alignment horizontal="center" vertical="center" wrapText="1"/>
      <protection locked="0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0" fillId="2" borderId="5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14" fillId="0" borderId="0" xfId="0" applyFont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1C746-1BA0-4808-92FE-58D53F304337}">
  <dimension ref="A1:T250"/>
  <sheetViews>
    <sheetView zoomScaleNormal="100" workbookViewId="0">
      <selection activeCell="A3" sqref="A3"/>
    </sheetView>
  </sheetViews>
  <sheetFormatPr defaultRowHeight="14"/>
  <cols>
    <col min="15" max="20" width="28.7265625" customWidth="1"/>
  </cols>
  <sheetData>
    <row r="1" spans="1:20">
      <c r="A1" t="s">
        <v>0</v>
      </c>
      <c r="O1" t="s">
        <v>231</v>
      </c>
    </row>
    <row r="2" spans="1:20">
      <c r="A2" t="s">
        <v>1</v>
      </c>
      <c r="O2" s="1" t="s">
        <v>232</v>
      </c>
      <c r="P2" s="1" t="s">
        <v>233</v>
      </c>
      <c r="Q2" s="1" t="s">
        <v>234</v>
      </c>
      <c r="R2" s="1" t="s">
        <v>235</v>
      </c>
      <c r="S2" s="1" t="s">
        <v>236</v>
      </c>
      <c r="T2" s="1" t="s">
        <v>237</v>
      </c>
    </row>
    <row r="3" spans="1:20" ht="15.5">
      <c r="A3" t="s">
        <v>2</v>
      </c>
      <c r="O3" s="4" t="s">
        <v>238</v>
      </c>
      <c r="P3" s="5"/>
      <c r="Q3" s="5"/>
      <c r="R3" s="5"/>
      <c r="S3" s="5"/>
      <c r="T3" s="6"/>
    </row>
    <row r="4" spans="1:20">
      <c r="A4" t="s">
        <v>3</v>
      </c>
      <c r="O4" s="3"/>
      <c r="P4" s="3"/>
      <c r="Q4" s="3"/>
      <c r="R4" s="3"/>
      <c r="S4" s="3"/>
      <c r="T4" s="3"/>
    </row>
    <row r="5" spans="1:20">
      <c r="A5" t="s">
        <v>4</v>
      </c>
      <c r="O5" s="2"/>
      <c r="P5" s="2"/>
      <c r="Q5" s="2"/>
      <c r="R5" s="2"/>
      <c r="S5" s="2"/>
      <c r="T5" s="2"/>
    </row>
    <row r="6" spans="1:20">
      <c r="A6" t="s">
        <v>5</v>
      </c>
      <c r="O6" s="2"/>
      <c r="P6" s="2"/>
      <c r="Q6" s="2"/>
      <c r="R6" s="2"/>
      <c r="S6" s="2"/>
      <c r="T6" s="2"/>
    </row>
    <row r="7" spans="1:20">
      <c r="A7" t="s">
        <v>6</v>
      </c>
      <c r="O7" s="2"/>
      <c r="P7" s="2"/>
      <c r="Q7" s="2"/>
      <c r="R7" s="2"/>
      <c r="S7" s="2"/>
      <c r="T7" s="2"/>
    </row>
    <row r="8" spans="1:20">
      <c r="A8" t="s">
        <v>7</v>
      </c>
      <c r="O8" s="2"/>
      <c r="P8" s="2"/>
      <c r="Q8" s="2"/>
      <c r="R8" s="2"/>
      <c r="S8" s="2"/>
      <c r="T8" s="2"/>
    </row>
    <row r="9" spans="1:20">
      <c r="A9" t="s">
        <v>8</v>
      </c>
      <c r="O9" s="2"/>
      <c r="P9" s="2"/>
      <c r="Q9" s="2"/>
      <c r="R9" s="2"/>
      <c r="S9" s="2"/>
      <c r="T9" s="2"/>
    </row>
    <row r="10" spans="1:20">
      <c r="A10" t="s">
        <v>9</v>
      </c>
      <c r="O10" s="2"/>
      <c r="P10" s="2"/>
      <c r="Q10" s="2"/>
      <c r="R10" s="2"/>
      <c r="S10" s="2"/>
      <c r="T10" s="2"/>
    </row>
    <row r="11" spans="1:20">
      <c r="A11" t="s">
        <v>10</v>
      </c>
      <c r="O11" s="2"/>
      <c r="P11" s="2"/>
      <c r="Q11" s="2"/>
      <c r="R11" s="2"/>
      <c r="S11" s="2"/>
      <c r="T11" s="2"/>
    </row>
    <row r="12" spans="1:20">
      <c r="A12" t="s">
        <v>11</v>
      </c>
      <c r="O12" s="2"/>
      <c r="P12" s="2"/>
      <c r="Q12" s="2"/>
      <c r="R12" s="2"/>
      <c r="S12" s="2"/>
      <c r="T12" s="2"/>
    </row>
    <row r="13" spans="1:20">
      <c r="A13" t="s">
        <v>12</v>
      </c>
      <c r="O13" s="2"/>
      <c r="P13" s="2"/>
      <c r="Q13" s="2"/>
      <c r="R13" s="2"/>
      <c r="S13" s="2"/>
      <c r="T13" s="2"/>
    </row>
    <row r="14" spans="1:20">
      <c r="A14" t="s">
        <v>13</v>
      </c>
      <c r="O14" s="2"/>
      <c r="P14" s="2"/>
      <c r="Q14" s="2"/>
      <c r="R14" s="2"/>
      <c r="S14" s="2"/>
      <c r="T14" s="2"/>
    </row>
    <row r="15" spans="1:20">
      <c r="A15" t="s">
        <v>14</v>
      </c>
      <c r="O15" s="2"/>
      <c r="P15" s="2"/>
      <c r="Q15" s="2"/>
      <c r="R15" s="2"/>
      <c r="S15" s="2"/>
      <c r="T15" s="2"/>
    </row>
    <row r="16" spans="1:20">
      <c r="A16" t="s">
        <v>15</v>
      </c>
      <c r="O16" s="2"/>
      <c r="P16" s="2"/>
      <c r="Q16" s="2"/>
      <c r="R16" s="2"/>
      <c r="S16" s="2"/>
      <c r="T16" s="2"/>
    </row>
    <row r="17" spans="1:20">
      <c r="A17" t="s">
        <v>16</v>
      </c>
      <c r="O17" s="2"/>
      <c r="P17" s="2"/>
      <c r="Q17" s="2"/>
      <c r="R17" s="2"/>
      <c r="S17" s="2"/>
      <c r="T17" s="2"/>
    </row>
    <row r="18" spans="1:20">
      <c r="A18" t="s">
        <v>17</v>
      </c>
      <c r="O18" s="2"/>
      <c r="P18" s="2"/>
      <c r="Q18" s="2"/>
      <c r="R18" s="2"/>
      <c r="S18" s="2"/>
      <c r="T18" s="2"/>
    </row>
    <row r="19" spans="1:20">
      <c r="A19" t="s">
        <v>18</v>
      </c>
      <c r="O19" s="2"/>
      <c r="P19" s="2"/>
      <c r="Q19" s="2"/>
      <c r="R19" s="2"/>
      <c r="S19" s="2"/>
      <c r="T19" s="2"/>
    </row>
    <row r="20" spans="1:20">
      <c r="A20" t="s">
        <v>19</v>
      </c>
      <c r="O20" s="2"/>
      <c r="P20" s="2"/>
      <c r="Q20" s="2"/>
      <c r="R20" s="2"/>
      <c r="S20" s="2"/>
      <c r="T20" s="2"/>
    </row>
    <row r="21" spans="1:20">
      <c r="A21" t="s">
        <v>20</v>
      </c>
      <c r="O21" s="2"/>
      <c r="P21" s="2"/>
      <c r="Q21" s="2"/>
      <c r="R21" s="2"/>
      <c r="S21" s="2"/>
      <c r="T21" s="2"/>
    </row>
    <row r="22" spans="1:20">
      <c r="A22" t="s">
        <v>21</v>
      </c>
      <c r="O22" s="2"/>
      <c r="P22" s="2"/>
      <c r="Q22" s="2"/>
      <c r="R22" s="2"/>
      <c r="S22" s="2"/>
      <c r="T22" s="2"/>
    </row>
    <row r="23" spans="1:20">
      <c r="A23" t="s">
        <v>22</v>
      </c>
      <c r="O23" s="2"/>
      <c r="P23" s="2"/>
      <c r="Q23" s="2"/>
      <c r="R23" s="2"/>
      <c r="S23" s="2"/>
      <c r="T23" s="2"/>
    </row>
    <row r="24" spans="1:20">
      <c r="A24" t="s">
        <v>23</v>
      </c>
      <c r="O24" s="2"/>
      <c r="P24" s="2"/>
      <c r="Q24" s="2"/>
      <c r="R24" s="2"/>
      <c r="S24" s="2"/>
      <c r="T24" s="2"/>
    </row>
    <row r="25" spans="1:20">
      <c r="A25" t="s">
        <v>24</v>
      </c>
      <c r="O25" s="2"/>
      <c r="P25" s="2"/>
      <c r="Q25" s="2"/>
      <c r="R25" s="2"/>
      <c r="S25" s="2"/>
      <c r="T25" s="2"/>
    </row>
    <row r="26" spans="1:20">
      <c r="A26" t="s">
        <v>25</v>
      </c>
      <c r="O26" s="2"/>
      <c r="P26" s="2"/>
      <c r="Q26" s="2"/>
      <c r="R26" s="2"/>
      <c r="S26" s="2"/>
      <c r="T26" s="2"/>
    </row>
    <row r="27" spans="1:20">
      <c r="A27" t="s">
        <v>26</v>
      </c>
      <c r="O27" s="2"/>
      <c r="P27" s="2"/>
      <c r="Q27" s="2"/>
      <c r="R27" s="2"/>
      <c r="S27" s="2"/>
      <c r="T27" s="2"/>
    </row>
    <row r="28" spans="1:20">
      <c r="A28" t="s">
        <v>27</v>
      </c>
      <c r="O28" s="2"/>
      <c r="P28" s="2"/>
      <c r="Q28" s="2"/>
      <c r="R28" s="2"/>
      <c r="S28" s="2"/>
      <c r="T28" s="2"/>
    </row>
    <row r="29" spans="1:20">
      <c r="A29" t="s">
        <v>28</v>
      </c>
      <c r="O29" s="2"/>
      <c r="P29" s="2"/>
      <c r="Q29" s="2"/>
      <c r="R29" s="2"/>
      <c r="S29" s="2"/>
      <c r="T29" s="2"/>
    </row>
    <row r="30" spans="1:20">
      <c r="A30" t="s">
        <v>29</v>
      </c>
      <c r="O30" s="2"/>
      <c r="P30" s="2"/>
      <c r="Q30" s="2"/>
      <c r="R30" s="2"/>
      <c r="S30" s="2"/>
      <c r="T30" s="2"/>
    </row>
    <row r="31" spans="1:20">
      <c r="A31" t="s">
        <v>30</v>
      </c>
      <c r="O31" s="2"/>
      <c r="P31" s="2"/>
      <c r="Q31" s="2"/>
      <c r="R31" s="2"/>
      <c r="S31" s="2"/>
      <c r="T31" s="2"/>
    </row>
    <row r="32" spans="1:20">
      <c r="A32" t="s">
        <v>31</v>
      </c>
      <c r="O32" s="2"/>
      <c r="P32" s="2"/>
      <c r="Q32" s="2"/>
      <c r="R32" s="2"/>
      <c r="S32" s="2"/>
      <c r="T32" s="2"/>
    </row>
    <row r="33" spans="1:20">
      <c r="A33" t="s">
        <v>32</v>
      </c>
      <c r="O33" s="2"/>
      <c r="P33" s="2"/>
      <c r="Q33" s="2"/>
      <c r="R33" s="2"/>
      <c r="S33" s="2"/>
      <c r="T33" s="2"/>
    </row>
    <row r="34" spans="1:20">
      <c r="A34" t="s">
        <v>33</v>
      </c>
      <c r="O34" s="2"/>
      <c r="P34" s="2"/>
      <c r="Q34" s="2"/>
      <c r="R34" s="2"/>
      <c r="S34" s="2"/>
      <c r="T34" s="2"/>
    </row>
    <row r="35" spans="1:20">
      <c r="A35" t="s">
        <v>34</v>
      </c>
      <c r="O35" s="2"/>
      <c r="P35" s="2"/>
      <c r="Q35" s="2"/>
      <c r="R35" s="2"/>
      <c r="S35" s="2"/>
      <c r="T35" s="2"/>
    </row>
    <row r="36" spans="1:20">
      <c r="A36" t="s">
        <v>35</v>
      </c>
      <c r="O36" s="2"/>
      <c r="P36" s="2"/>
      <c r="Q36" s="2"/>
      <c r="R36" s="2"/>
      <c r="S36" s="2"/>
      <c r="T36" s="2"/>
    </row>
    <row r="37" spans="1:20">
      <c r="A37" t="s">
        <v>36</v>
      </c>
      <c r="O37" s="2"/>
      <c r="P37" s="2"/>
      <c r="Q37" s="2"/>
      <c r="R37" s="2"/>
      <c r="S37" s="2"/>
      <c r="T37" s="2"/>
    </row>
    <row r="38" spans="1:20">
      <c r="A38" t="s">
        <v>37</v>
      </c>
      <c r="O38" s="2"/>
      <c r="P38" s="2"/>
      <c r="Q38" s="2"/>
      <c r="R38" s="2"/>
      <c r="S38" s="2"/>
      <c r="T38" s="2"/>
    </row>
    <row r="39" spans="1:20">
      <c r="A39" t="s">
        <v>38</v>
      </c>
      <c r="O39" s="2"/>
      <c r="P39" s="2"/>
      <c r="Q39" s="2"/>
      <c r="R39" s="2"/>
      <c r="S39" s="2"/>
      <c r="T39" s="2"/>
    </row>
    <row r="40" spans="1:20">
      <c r="A40" t="s">
        <v>39</v>
      </c>
      <c r="O40" s="2"/>
      <c r="P40" s="2"/>
      <c r="Q40" s="2"/>
      <c r="R40" s="2"/>
      <c r="S40" s="2"/>
      <c r="T40" s="2"/>
    </row>
    <row r="41" spans="1:20">
      <c r="A41" t="s">
        <v>40</v>
      </c>
      <c r="O41" s="2"/>
      <c r="P41" s="2"/>
      <c r="Q41" s="2"/>
      <c r="R41" s="2"/>
      <c r="S41" s="2"/>
      <c r="T41" s="2"/>
    </row>
    <row r="42" spans="1:20">
      <c r="A42" t="s">
        <v>41</v>
      </c>
      <c r="O42" s="2"/>
      <c r="P42" s="2"/>
      <c r="Q42" s="2"/>
      <c r="R42" s="2"/>
      <c r="S42" s="2"/>
      <c r="T42" s="2"/>
    </row>
    <row r="43" spans="1:20">
      <c r="A43" t="s">
        <v>42</v>
      </c>
      <c r="O43" s="2"/>
      <c r="P43" s="2"/>
      <c r="Q43" s="2"/>
      <c r="R43" s="2"/>
      <c r="S43" s="2"/>
      <c r="T43" s="2"/>
    </row>
    <row r="44" spans="1:20">
      <c r="A44" t="s">
        <v>43</v>
      </c>
      <c r="O44" s="2"/>
      <c r="P44" s="2"/>
      <c r="Q44" s="2"/>
      <c r="R44" s="2"/>
      <c r="S44" s="2"/>
      <c r="T44" s="2"/>
    </row>
    <row r="45" spans="1:20">
      <c r="A45" t="s">
        <v>44</v>
      </c>
      <c r="O45" s="2"/>
      <c r="P45" s="2"/>
      <c r="Q45" s="2"/>
      <c r="R45" s="2"/>
      <c r="S45" s="2"/>
      <c r="T45" s="2"/>
    </row>
    <row r="46" spans="1:20">
      <c r="A46" t="s">
        <v>45</v>
      </c>
      <c r="O46" s="2"/>
      <c r="P46" s="2"/>
      <c r="Q46" s="2"/>
      <c r="R46" s="2"/>
      <c r="S46" s="2"/>
      <c r="T46" s="2"/>
    </row>
    <row r="47" spans="1:20">
      <c r="A47" t="s">
        <v>46</v>
      </c>
      <c r="O47" s="2"/>
      <c r="P47" s="2"/>
      <c r="Q47" s="2"/>
      <c r="R47" s="2"/>
      <c r="S47" s="2"/>
      <c r="T47" s="2"/>
    </row>
    <row r="48" spans="1:20">
      <c r="A48" t="s">
        <v>47</v>
      </c>
      <c r="O48" s="2"/>
      <c r="P48" s="2"/>
      <c r="Q48" s="2"/>
      <c r="R48" s="2"/>
      <c r="S48" s="2"/>
      <c r="T48" s="2"/>
    </row>
    <row r="49" spans="1:20">
      <c r="A49" t="s">
        <v>48</v>
      </c>
      <c r="O49" s="2"/>
      <c r="P49" s="2"/>
      <c r="Q49" s="2"/>
      <c r="R49" s="2"/>
      <c r="S49" s="2"/>
      <c r="T49" s="2"/>
    </row>
    <row r="50" spans="1:20">
      <c r="A50" t="s">
        <v>49</v>
      </c>
      <c r="O50" s="2"/>
      <c r="P50" s="2"/>
      <c r="Q50" s="2"/>
      <c r="R50" s="2"/>
      <c r="S50" s="2"/>
      <c r="T50" s="2"/>
    </row>
    <row r="51" spans="1:20">
      <c r="A51" t="s">
        <v>50</v>
      </c>
      <c r="O51" s="2"/>
      <c r="P51" s="2"/>
      <c r="Q51" s="2"/>
      <c r="R51" s="2"/>
      <c r="S51" s="2"/>
      <c r="T51" s="2"/>
    </row>
    <row r="52" spans="1:20">
      <c r="A52" t="s">
        <v>51</v>
      </c>
      <c r="O52" s="2"/>
      <c r="P52" s="2"/>
      <c r="Q52" s="2"/>
      <c r="R52" s="2"/>
      <c r="S52" s="2"/>
      <c r="T52" s="2"/>
    </row>
    <row r="53" spans="1:20">
      <c r="A53" t="s">
        <v>52</v>
      </c>
      <c r="O53" s="2"/>
      <c r="P53" s="2"/>
      <c r="Q53" s="2"/>
      <c r="R53" s="2"/>
      <c r="S53" s="2"/>
      <c r="T53" s="2"/>
    </row>
    <row r="54" spans="1:20">
      <c r="A54" t="s">
        <v>53</v>
      </c>
      <c r="O54" s="2"/>
      <c r="P54" s="2"/>
      <c r="Q54" s="2"/>
      <c r="R54" s="2"/>
      <c r="S54" s="2"/>
      <c r="T54" s="2"/>
    </row>
    <row r="55" spans="1:20">
      <c r="A55" t="s">
        <v>54</v>
      </c>
      <c r="O55" s="2"/>
      <c r="P55" s="2"/>
      <c r="Q55" s="2"/>
      <c r="R55" s="2"/>
      <c r="S55" s="2"/>
      <c r="T55" s="2"/>
    </row>
    <row r="56" spans="1:20">
      <c r="A56" t="s">
        <v>55</v>
      </c>
      <c r="O56" s="2"/>
      <c r="P56" s="2"/>
      <c r="Q56" s="2"/>
      <c r="R56" s="2"/>
      <c r="S56" s="2"/>
      <c r="T56" s="2"/>
    </row>
    <row r="57" spans="1:20">
      <c r="A57" t="s">
        <v>56</v>
      </c>
      <c r="O57" s="2"/>
      <c r="P57" s="2"/>
      <c r="Q57" s="2"/>
      <c r="R57" s="2"/>
      <c r="S57" s="2"/>
      <c r="T57" s="2"/>
    </row>
    <row r="58" spans="1:20">
      <c r="A58" t="s">
        <v>57</v>
      </c>
      <c r="O58" s="2"/>
      <c r="P58" s="2"/>
      <c r="Q58" s="2"/>
      <c r="R58" s="2"/>
      <c r="S58" s="2"/>
      <c r="T58" s="2"/>
    </row>
    <row r="59" spans="1:20">
      <c r="A59" t="s">
        <v>58</v>
      </c>
      <c r="O59" s="2"/>
      <c r="P59" s="2"/>
      <c r="Q59" s="2"/>
      <c r="R59" s="2"/>
      <c r="S59" s="2"/>
      <c r="T59" s="2"/>
    </row>
    <row r="60" spans="1:20">
      <c r="A60" t="s">
        <v>59</v>
      </c>
      <c r="O60" s="2"/>
      <c r="P60" s="2"/>
      <c r="Q60" s="2"/>
      <c r="R60" s="2"/>
      <c r="S60" s="2"/>
      <c r="T60" s="2"/>
    </row>
    <row r="61" spans="1:20">
      <c r="A61" t="s">
        <v>60</v>
      </c>
      <c r="O61" s="2"/>
      <c r="P61" s="2"/>
      <c r="Q61" s="2"/>
      <c r="R61" s="2"/>
      <c r="S61" s="2"/>
      <c r="T61" s="2"/>
    </row>
    <row r="62" spans="1:20">
      <c r="A62" t="s">
        <v>61</v>
      </c>
      <c r="O62" s="2"/>
      <c r="P62" s="2"/>
      <c r="Q62" s="2"/>
      <c r="R62" s="2"/>
      <c r="S62" s="2"/>
      <c r="T62" s="2"/>
    </row>
    <row r="63" spans="1:20">
      <c r="A63" t="s">
        <v>62</v>
      </c>
      <c r="O63" s="2"/>
      <c r="P63" s="2"/>
      <c r="Q63" s="2"/>
      <c r="R63" s="2"/>
      <c r="S63" s="2"/>
      <c r="T63" s="2"/>
    </row>
    <row r="64" spans="1:20">
      <c r="A64" t="s">
        <v>63</v>
      </c>
      <c r="O64" s="2"/>
      <c r="P64" s="2"/>
      <c r="Q64" s="2"/>
      <c r="R64" s="2"/>
      <c r="S64" s="2"/>
      <c r="T64" s="2"/>
    </row>
    <row r="65" spans="1:20">
      <c r="A65" t="s">
        <v>64</v>
      </c>
      <c r="O65" s="2"/>
      <c r="P65" s="2"/>
      <c r="Q65" s="2"/>
      <c r="R65" s="2"/>
      <c r="S65" s="2"/>
      <c r="T65" s="2"/>
    </row>
    <row r="66" spans="1:20">
      <c r="A66" t="s">
        <v>65</v>
      </c>
      <c r="O66" s="2"/>
      <c r="P66" s="2"/>
      <c r="Q66" s="2"/>
      <c r="R66" s="2"/>
      <c r="S66" s="2"/>
      <c r="T66" s="2"/>
    </row>
    <row r="67" spans="1:20">
      <c r="A67" t="s">
        <v>66</v>
      </c>
      <c r="O67" s="2"/>
      <c r="P67" s="2"/>
      <c r="Q67" s="2"/>
      <c r="R67" s="2"/>
      <c r="S67" s="2"/>
      <c r="T67" s="2"/>
    </row>
    <row r="68" spans="1:20">
      <c r="A68" t="s">
        <v>67</v>
      </c>
      <c r="O68" s="2"/>
      <c r="P68" s="2"/>
      <c r="Q68" s="2"/>
      <c r="R68" s="2"/>
      <c r="S68" s="2"/>
      <c r="T68" s="2"/>
    </row>
    <row r="76" spans="1:20">
      <c r="A76" t="s">
        <v>68</v>
      </c>
    </row>
    <row r="78" spans="1:20">
      <c r="A78" t="s">
        <v>0</v>
      </c>
    </row>
    <row r="79" spans="1:20">
      <c r="A79" t="s">
        <v>1</v>
      </c>
    </row>
    <row r="80" spans="1:20">
      <c r="A80" t="s">
        <v>69</v>
      </c>
    </row>
    <row r="81" spans="1:1">
      <c r="A81" t="s">
        <v>70</v>
      </c>
    </row>
    <row r="82" spans="1:1">
      <c r="A82" t="s">
        <v>71</v>
      </c>
    </row>
    <row r="83" spans="1:1">
      <c r="A83" t="s">
        <v>72</v>
      </c>
    </row>
    <row r="84" spans="1:1">
      <c r="A84" t="s">
        <v>73</v>
      </c>
    </row>
    <row r="85" spans="1:1">
      <c r="A85" t="s">
        <v>74</v>
      </c>
    </row>
    <row r="86" spans="1:1">
      <c r="A86" t="s">
        <v>75</v>
      </c>
    </row>
    <row r="87" spans="1:1">
      <c r="A87" t="s">
        <v>76</v>
      </c>
    </row>
    <row r="88" spans="1:1">
      <c r="A88" t="s">
        <v>77</v>
      </c>
    </row>
    <row r="89" spans="1:1">
      <c r="A89" t="s">
        <v>78</v>
      </c>
    </row>
    <row r="90" spans="1:1">
      <c r="A90" t="s">
        <v>79</v>
      </c>
    </row>
    <row r="91" spans="1:1">
      <c r="A91" t="s">
        <v>80</v>
      </c>
    </row>
    <row r="92" spans="1:1">
      <c r="A92" t="s">
        <v>81</v>
      </c>
    </row>
    <row r="93" spans="1:1">
      <c r="A93" t="s">
        <v>82</v>
      </c>
    </row>
    <row r="94" spans="1:1">
      <c r="A94" t="s">
        <v>83</v>
      </c>
    </row>
    <row r="95" spans="1:1">
      <c r="A95" t="s">
        <v>84</v>
      </c>
    </row>
    <row r="96" spans="1:1">
      <c r="A96" t="s">
        <v>85</v>
      </c>
    </row>
    <row r="97" spans="1:1">
      <c r="A97" t="s">
        <v>86</v>
      </c>
    </row>
    <row r="98" spans="1:1">
      <c r="A98" t="s">
        <v>87</v>
      </c>
    </row>
    <row r="99" spans="1:1">
      <c r="A99" t="s">
        <v>88</v>
      </c>
    </row>
    <row r="100" spans="1:1">
      <c r="A100" t="s">
        <v>89</v>
      </c>
    </row>
    <row r="101" spans="1:1">
      <c r="A101" t="s">
        <v>90</v>
      </c>
    </row>
    <row r="102" spans="1:1">
      <c r="A102" t="s">
        <v>91</v>
      </c>
    </row>
    <row r="103" spans="1:1">
      <c r="A103" t="s">
        <v>92</v>
      </c>
    </row>
    <row r="104" spans="1:1">
      <c r="A104" t="s">
        <v>93</v>
      </c>
    </row>
    <row r="105" spans="1:1">
      <c r="A105" t="s">
        <v>94</v>
      </c>
    </row>
    <row r="106" spans="1:1">
      <c r="A106" t="s">
        <v>95</v>
      </c>
    </row>
    <row r="107" spans="1:1">
      <c r="A107" t="s">
        <v>96</v>
      </c>
    </row>
    <row r="108" spans="1:1">
      <c r="A108" t="s">
        <v>97</v>
      </c>
    </row>
    <row r="109" spans="1:1">
      <c r="A109" t="s">
        <v>98</v>
      </c>
    </row>
    <row r="110" spans="1:1">
      <c r="A110" t="s">
        <v>99</v>
      </c>
    </row>
    <row r="111" spans="1:1">
      <c r="A111" t="s">
        <v>100</v>
      </c>
    </row>
    <row r="112" spans="1:1">
      <c r="A112" t="s">
        <v>101</v>
      </c>
    </row>
    <row r="113" spans="1:1">
      <c r="A113" t="s">
        <v>102</v>
      </c>
    </row>
    <row r="114" spans="1:1">
      <c r="A114" t="s">
        <v>103</v>
      </c>
    </row>
    <row r="115" spans="1:1">
      <c r="A115" t="s">
        <v>104</v>
      </c>
    </row>
    <row r="116" spans="1:1">
      <c r="A116" t="s">
        <v>105</v>
      </c>
    </row>
    <row r="117" spans="1:1">
      <c r="A117" t="s">
        <v>106</v>
      </c>
    </row>
    <row r="118" spans="1:1">
      <c r="A118" t="s">
        <v>107</v>
      </c>
    </row>
    <row r="119" spans="1:1">
      <c r="A119" t="s">
        <v>108</v>
      </c>
    </row>
    <row r="120" spans="1:1">
      <c r="A120" t="s">
        <v>109</v>
      </c>
    </row>
    <row r="121" spans="1:1">
      <c r="A121" t="s">
        <v>110</v>
      </c>
    </row>
    <row r="122" spans="1:1">
      <c r="A122" t="s">
        <v>111</v>
      </c>
    </row>
    <row r="123" spans="1:1">
      <c r="A123" t="s">
        <v>112</v>
      </c>
    </row>
    <row r="124" spans="1:1">
      <c r="A124" t="s">
        <v>113</v>
      </c>
    </row>
    <row r="125" spans="1:1">
      <c r="A125" t="s">
        <v>114</v>
      </c>
    </row>
    <row r="126" spans="1:1">
      <c r="A126" t="s">
        <v>115</v>
      </c>
    </row>
    <row r="127" spans="1:1">
      <c r="A127" t="s">
        <v>116</v>
      </c>
    </row>
    <row r="128" spans="1:1">
      <c r="A128" t="s">
        <v>117</v>
      </c>
    </row>
    <row r="129" spans="1:1">
      <c r="A129" t="s">
        <v>118</v>
      </c>
    </row>
    <row r="130" spans="1:1">
      <c r="A130" t="s">
        <v>119</v>
      </c>
    </row>
    <row r="131" spans="1:1">
      <c r="A131" t="s">
        <v>120</v>
      </c>
    </row>
    <row r="133" spans="1:1">
      <c r="A133" t="s">
        <v>121</v>
      </c>
    </row>
    <row r="135" spans="1:1">
      <c r="A135" t="s">
        <v>0</v>
      </c>
    </row>
    <row r="136" spans="1:1">
      <c r="A136" t="s">
        <v>1</v>
      </c>
    </row>
    <row r="137" spans="1:1">
      <c r="A137" t="s">
        <v>122</v>
      </c>
    </row>
    <row r="138" spans="1:1">
      <c r="A138" t="s">
        <v>123</v>
      </c>
    </row>
    <row r="139" spans="1:1">
      <c r="A139" t="s">
        <v>124</v>
      </c>
    </row>
    <row r="140" spans="1:1">
      <c r="A140" t="s">
        <v>125</v>
      </c>
    </row>
    <row r="141" spans="1:1">
      <c r="A141" t="s">
        <v>126</v>
      </c>
    </row>
    <row r="142" spans="1:1">
      <c r="A142" t="s">
        <v>127</v>
      </c>
    </row>
    <row r="143" spans="1:1">
      <c r="A143" t="s">
        <v>128</v>
      </c>
    </row>
    <row r="144" spans="1:1">
      <c r="A144" t="s">
        <v>129</v>
      </c>
    </row>
    <row r="145" spans="1:1">
      <c r="A145" t="s">
        <v>130</v>
      </c>
    </row>
    <row r="146" spans="1:1">
      <c r="A146" t="s">
        <v>131</v>
      </c>
    </row>
    <row r="147" spans="1:1">
      <c r="A147" t="s">
        <v>132</v>
      </c>
    </row>
    <row r="148" spans="1:1">
      <c r="A148" t="s">
        <v>133</v>
      </c>
    </row>
    <row r="149" spans="1:1">
      <c r="A149" t="s">
        <v>134</v>
      </c>
    </row>
    <row r="150" spans="1:1">
      <c r="A150" t="s">
        <v>135</v>
      </c>
    </row>
    <row r="151" spans="1:1">
      <c r="A151" t="s">
        <v>136</v>
      </c>
    </row>
    <row r="152" spans="1:1">
      <c r="A152" t="s">
        <v>137</v>
      </c>
    </row>
    <row r="153" spans="1:1">
      <c r="A153" t="s">
        <v>138</v>
      </c>
    </row>
    <row r="154" spans="1:1">
      <c r="A154" t="s">
        <v>139</v>
      </c>
    </row>
    <row r="155" spans="1:1">
      <c r="A155" t="s">
        <v>140</v>
      </c>
    </row>
    <row r="156" spans="1:1">
      <c r="A156" t="s">
        <v>141</v>
      </c>
    </row>
    <row r="157" spans="1:1">
      <c r="A157" t="s">
        <v>142</v>
      </c>
    </row>
    <row r="158" spans="1:1">
      <c r="A158" t="s">
        <v>143</v>
      </c>
    </row>
    <row r="159" spans="1:1">
      <c r="A159" t="s">
        <v>144</v>
      </c>
    </row>
    <row r="160" spans="1:1">
      <c r="A160" t="s">
        <v>145</v>
      </c>
    </row>
    <row r="161" spans="1:1">
      <c r="A161" t="s">
        <v>146</v>
      </c>
    </row>
    <row r="162" spans="1:1">
      <c r="A162" t="s">
        <v>147</v>
      </c>
    </row>
    <row r="163" spans="1:1">
      <c r="A163" t="s">
        <v>148</v>
      </c>
    </row>
    <row r="164" spans="1:1">
      <c r="A164" t="s">
        <v>149</v>
      </c>
    </row>
    <row r="165" spans="1:1">
      <c r="A165" t="s">
        <v>150</v>
      </c>
    </row>
    <row r="166" spans="1:1">
      <c r="A166" t="s">
        <v>151</v>
      </c>
    </row>
    <row r="167" spans="1:1">
      <c r="A167" t="s">
        <v>152</v>
      </c>
    </row>
    <row r="168" spans="1:1">
      <c r="A168" t="s">
        <v>153</v>
      </c>
    </row>
    <row r="169" spans="1:1">
      <c r="A169" t="s">
        <v>154</v>
      </c>
    </row>
    <row r="170" spans="1:1">
      <c r="A170" t="s">
        <v>155</v>
      </c>
    </row>
    <row r="171" spans="1:1">
      <c r="A171" t="s">
        <v>156</v>
      </c>
    </row>
    <row r="172" spans="1:1">
      <c r="A172" t="s">
        <v>157</v>
      </c>
    </row>
    <row r="173" spans="1:1">
      <c r="A173" t="s">
        <v>158</v>
      </c>
    </row>
    <row r="174" spans="1:1">
      <c r="A174" t="s">
        <v>159</v>
      </c>
    </row>
    <row r="175" spans="1:1">
      <c r="A175" t="s">
        <v>160</v>
      </c>
    </row>
    <row r="176" spans="1:1">
      <c r="A176" t="s">
        <v>161</v>
      </c>
    </row>
    <row r="177" spans="1:1">
      <c r="A177" t="s">
        <v>162</v>
      </c>
    </row>
    <row r="178" spans="1:1">
      <c r="A178" t="s">
        <v>163</v>
      </c>
    </row>
    <row r="179" spans="1:1">
      <c r="A179" t="s">
        <v>164</v>
      </c>
    </row>
    <row r="180" spans="1:1">
      <c r="A180" t="s">
        <v>165</v>
      </c>
    </row>
    <row r="181" spans="1:1">
      <c r="A181" t="s">
        <v>166</v>
      </c>
    </row>
    <row r="182" spans="1:1">
      <c r="A182" t="s">
        <v>167</v>
      </c>
    </row>
    <row r="184" spans="1:1">
      <c r="A184" t="s">
        <v>168</v>
      </c>
    </row>
    <row r="186" spans="1:1">
      <c r="A186" t="s">
        <v>0</v>
      </c>
    </row>
    <row r="187" spans="1:1">
      <c r="A187" t="s">
        <v>1</v>
      </c>
    </row>
    <row r="188" spans="1:1">
      <c r="A188" t="s">
        <v>169</v>
      </c>
    </row>
    <row r="189" spans="1:1">
      <c r="A189" t="s">
        <v>170</v>
      </c>
    </row>
    <row r="190" spans="1:1">
      <c r="A190" t="s">
        <v>171</v>
      </c>
    </row>
    <row r="191" spans="1:1">
      <c r="A191" t="s">
        <v>172</v>
      </c>
    </row>
    <row r="192" spans="1:1">
      <c r="A192" t="s">
        <v>173</v>
      </c>
    </row>
    <row r="193" spans="1:1">
      <c r="A193" t="s">
        <v>174</v>
      </c>
    </row>
    <row r="194" spans="1:1">
      <c r="A194" t="s">
        <v>175</v>
      </c>
    </row>
    <row r="195" spans="1:1">
      <c r="A195" t="s">
        <v>176</v>
      </c>
    </row>
    <row r="196" spans="1:1">
      <c r="A196" t="s">
        <v>177</v>
      </c>
    </row>
    <row r="197" spans="1:1">
      <c r="A197" t="s">
        <v>178</v>
      </c>
    </row>
    <row r="198" spans="1:1">
      <c r="A198" t="s">
        <v>179</v>
      </c>
    </row>
    <row r="199" spans="1:1">
      <c r="A199" t="s">
        <v>180</v>
      </c>
    </row>
    <row r="200" spans="1:1">
      <c r="A200" t="s">
        <v>181</v>
      </c>
    </row>
    <row r="201" spans="1:1">
      <c r="A201" t="s">
        <v>182</v>
      </c>
    </row>
    <row r="202" spans="1:1">
      <c r="A202" t="s">
        <v>183</v>
      </c>
    </row>
    <row r="203" spans="1:1">
      <c r="A203" t="s">
        <v>184</v>
      </c>
    </row>
    <row r="204" spans="1:1">
      <c r="A204" t="s">
        <v>185</v>
      </c>
    </row>
    <row r="205" spans="1:1">
      <c r="A205" t="s">
        <v>186</v>
      </c>
    </row>
    <row r="206" spans="1:1">
      <c r="A206" t="s">
        <v>187</v>
      </c>
    </row>
    <row r="207" spans="1:1">
      <c r="A207" t="s">
        <v>188</v>
      </c>
    </row>
    <row r="208" spans="1:1">
      <c r="A208" t="s">
        <v>189</v>
      </c>
    </row>
    <row r="209" spans="1:1">
      <c r="A209" t="s">
        <v>190</v>
      </c>
    </row>
    <row r="210" spans="1:1">
      <c r="A210" t="s">
        <v>191</v>
      </c>
    </row>
    <row r="211" spans="1:1">
      <c r="A211" t="s">
        <v>192</v>
      </c>
    </row>
    <row r="212" spans="1:1">
      <c r="A212" t="s">
        <v>193</v>
      </c>
    </row>
    <row r="213" spans="1:1">
      <c r="A213" t="s">
        <v>194</v>
      </c>
    </row>
    <row r="214" spans="1:1">
      <c r="A214" t="s">
        <v>195</v>
      </c>
    </row>
    <row r="215" spans="1:1">
      <c r="A215" t="s">
        <v>196</v>
      </c>
    </row>
    <row r="216" spans="1:1">
      <c r="A216" t="s">
        <v>197</v>
      </c>
    </row>
    <row r="217" spans="1:1">
      <c r="A217" t="s">
        <v>198</v>
      </c>
    </row>
    <row r="218" spans="1:1">
      <c r="A218" t="s">
        <v>199</v>
      </c>
    </row>
    <row r="219" spans="1:1">
      <c r="A219" t="s">
        <v>200</v>
      </c>
    </row>
    <row r="220" spans="1:1">
      <c r="A220" t="s">
        <v>201</v>
      </c>
    </row>
    <row r="221" spans="1:1">
      <c r="A221" t="s">
        <v>202</v>
      </c>
    </row>
    <row r="222" spans="1:1">
      <c r="A222" t="s">
        <v>203</v>
      </c>
    </row>
    <row r="223" spans="1:1">
      <c r="A223" t="s">
        <v>204</v>
      </c>
    </row>
    <row r="224" spans="1:1">
      <c r="A224" t="s">
        <v>205</v>
      </c>
    </row>
    <row r="225" spans="1:1">
      <c r="A225" t="s">
        <v>206</v>
      </c>
    </row>
    <row r="226" spans="1:1">
      <c r="A226" t="s">
        <v>207</v>
      </c>
    </row>
    <row r="227" spans="1:1">
      <c r="A227" t="s">
        <v>208</v>
      </c>
    </row>
    <row r="228" spans="1:1">
      <c r="A228" t="s">
        <v>209</v>
      </c>
    </row>
    <row r="229" spans="1:1">
      <c r="A229" t="s">
        <v>210</v>
      </c>
    </row>
    <row r="230" spans="1:1">
      <c r="A230" t="s">
        <v>211</v>
      </c>
    </row>
    <row r="231" spans="1:1">
      <c r="A231" t="s">
        <v>212</v>
      </c>
    </row>
    <row r="232" spans="1:1">
      <c r="A232" t="s">
        <v>213</v>
      </c>
    </row>
    <row r="233" spans="1:1">
      <c r="A233" t="s">
        <v>214</v>
      </c>
    </row>
    <row r="234" spans="1:1">
      <c r="A234" t="s">
        <v>215</v>
      </c>
    </row>
    <row r="235" spans="1:1">
      <c r="A235" t="s">
        <v>216</v>
      </c>
    </row>
    <row r="236" spans="1:1">
      <c r="A236" t="s">
        <v>217</v>
      </c>
    </row>
    <row r="237" spans="1:1">
      <c r="A237" t="s">
        <v>218</v>
      </c>
    </row>
    <row r="238" spans="1:1">
      <c r="A238" t="s">
        <v>219</v>
      </c>
    </row>
    <row r="239" spans="1:1">
      <c r="A239" t="s">
        <v>220</v>
      </c>
    </row>
    <row r="240" spans="1:1">
      <c r="A240" t="s">
        <v>221</v>
      </c>
    </row>
    <row r="241" spans="1:1">
      <c r="A241" t="s">
        <v>222</v>
      </c>
    </row>
    <row r="242" spans="1:1">
      <c r="A242" t="s">
        <v>223</v>
      </c>
    </row>
    <row r="243" spans="1:1">
      <c r="A243" t="s">
        <v>224</v>
      </c>
    </row>
    <row r="244" spans="1:1">
      <c r="A244" t="s">
        <v>225</v>
      </c>
    </row>
    <row r="245" spans="1:1">
      <c r="A245" t="s">
        <v>226</v>
      </c>
    </row>
    <row r="246" spans="1:1">
      <c r="A246" t="s">
        <v>227</v>
      </c>
    </row>
    <row r="247" spans="1:1">
      <c r="A247" t="s">
        <v>228</v>
      </c>
    </row>
    <row r="249" spans="1:1">
      <c r="A249" t="s">
        <v>229</v>
      </c>
    </row>
    <row r="250" spans="1:1">
      <c r="A250" t="s">
        <v>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6586E-78ED-4A5D-ADAD-3DDFF6A716CC}">
  <dimension ref="A1:AK68"/>
  <sheetViews>
    <sheetView tabSelected="1" zoomScale="66" zoomScaleNormal="66" workbookViewId="0">
      <selection activeCell="D15" sqref="D15"/>
    </sheetView>
  </sheetViews>
  <sheetFormatPr defaultRowHeight="14"/>
  <cols>
    <col min="1" max="1" width="8.90625" style="29" customWidth="1"/>
    <col min="2" max="2" width="30.08984375" bestFit="1" customWidth="1"/>
    <col min="3" max="3" width="56.26953125" customWidth="1"/>
    <col min="4" max="4" width="52.453125" customWidth="1"/>
    <col min="5" max="5" width="9.6328125" bestFit="1" customWidth="1"/>
    <col min="6" max="6" width="6.90625" customWidth="1"/>
    <col min="7" max="7" width="55.36328125" customWidth="1"/>
    <col min="9" max="9" width="9" customWidth="1"/>
    <col min="10" max="10" width="8.36328125" customWidth="1"/>
    <col min="11" max="11" width="9.26953125" style="29" customWidth="1"/>
    <col min="12" max="12" width="30.08984375" bestFit="1" customWidth="1"/>
    <col min="13" max="13" width="48.90625" customWidth="1"/>
    <col min="14" max="14" width="48.36328125" customWidth="1"/>
    <col min="15" max="15" width="9.6328125" bestFit="1" customWidth="1"/>
    <col min="16" max="16" width="8.08984375" bestFit="1" customWidth="1"/>
    <col min="17" max="17" width="62.36328125" customWidth="1"/>
    <col min="18" max="20" width="8.08984375" customWidth="1"/>
    <col min="21" max="21" width="7.08984375" style="29" customWidth="1"/>
    <col min="22" max="22" width="34.6328125" bestFit="1" customWidth="1"/>
    <col min="23" max="23" width="54" customWidth="1"/>
    <col min="24" max="24" width="55" customWidth="1"/>
    <col min="25" max="25" width="9.6328125" bestFit="1" customWidth="1"/>
    <col min="26" max="26" width="8.08984375" bestFit="1" customWidth="1"/>
    <col min="27" max="27" width="50.453125" customWidth="1"/>
    <col min="30" max="30" width="12" customWidth="1"/>
    <col min="31" max="31" width="16" style="29" customWidth="1"/>
    <col min="32" max="32" width="56.08984375" customWidth="1"/>
    <col min="33" max="33" width="54.90625" customWidth="1"/>
    <col min="34" max="34" width="45.6328125" customWidth="1"/>
    <col min="35" max="36" width="10" customWidth="1"/>
    <col min="37" max="37" width="45.90625" customWidth="1"/>
  </cols>
  <sheetData>
    <row r="1" spans="1:37" ht="28.5" customHeight="1">
      <c r="A1" s="34" t="s">
        <v>231</v>
      </c>
      <c r="B1" s="11" t="s">
        <v>586</v>
      </c>
      <c r="C1" s="11"/>
      <c r="D1" s="11"/>
      <c r="E1" s="11"/>
      <c r="F1" s="11"/>
      <c r="G1" s="11"/>
      <c r="I1" t="s">
        <v>428</v>
      </c>
      <c r="K1" s="10" t="s">
        <v>427</v>
      </c>
      <c r="U1" s="30" t="s">
        <v>429</v>
      </c>
      <c r="V1" s="11"/>
      <c r="W1" s="11"/>
      <c r="X1" s="11"/>
      <c r="Y1" s="11"/>
      <c r="Z1" s="11"/>
      <c r="AA1" s="11"/>
      <c r="AE1" s="17" t="s">
        <v>506</v>
      </c>
    </row>
    <row r="2" spans="1:37" ht="16.5">
      <c r="A2" s="35" t="s">
        <v>232</v>
      </c>
      <c r="B2" s="12" t="s">
        <v>233</v>
      </c>
      <c r="C2" s="12" t="s">
        <v>585</v>
      </c>
      <c r="D2" s="12" t="s">
        <v>234</v>
      </c>
      <c r="E2" s="12" t="s">
        <v>235</v>
      </c>
      <c r="F2" s="12" t="s">
        <v>236</v>
      </c>
      <c r="G2" s="12" t="s">
        <v>237</v>
      </c>
      <c r="K2" s="32" t="s">
        <v>232</v>
      </c>
      <c r="L2" s="7" t="s">
        <v>233</v>
      </c>
      <c r="M2" s="7" t="s">
        <v>585</v>
      </c>
      <c r="N2" s="7" t="s">
        <v>234</v>
      </c>
      <c r="O2" s="7" t="s">
        <v>235</v>
      </c>
      <c r="P2" s="7" t="s">
        <v>236</v>
      </c>
      <c r="Q2" s="7" t="s">
        <v>237</v>
      </c>
      <c r="U2" s="22" t="s">
        <v>232</v>
      </c>
      <c r="V2" s="23" t="s">
        <v>430</v>
      </c>
      <c r="W2" s="23" t="s">
        <v>585</v>
      </c>
      <c r="X2" s="23" t="s">
        <v>234</v>
      </c>
      <c r="Y2" s="23" t="s">
        <v>235</v>
      </c>
      <c r="Z2" s="23" t="s">
        <v>236</v>
      </c>
      <c r="AA2" s="23" t="s">
        <v>237</v>
      </c>
      <c r="AE2" s="27" t="s">
        <v>232</v>
      </c>
      <c r="AF2" s="18" t="s">
        <v>430</v>
      </c>
      <c r="AG2" s="18" t="s">
        <v>585</v>
      </c>
      <c r="AH2" s="18" t="s">
        <v>234</v>
      </c>
      <c r="AI2" s="18" t="s">
        <v>235</v>
      </c>
      <c r="AJ2" s="18" t="s">
        <v>236</v>
      </c>
      <c r="AK2" s="18" t="s">
        <v>237</v>
      </c>
    </row>
    <row r="3" spans="1:37" ht="13" customHeight="1">
      <c r="A3" s="36">
        <v>1.1000000000000001</v>
      </c>
      <c r="B3" s="13" t="s">
        <v>309</v>
      </c>
      <c r="C3" s="13" t="str">
        <f>B1&amp;"     "&amp;D3</f>
        <v>j1     Numbers and Algebra – Numbers and Operations</v>
      </c>
      <c r="D3" s="13" t="s">
        <v>587</v>
      </c>
      <c r="E3" s="13" t="s">
        <v>239</v>
      </c>
      <c r="F3" s="13" t="s">
        <v>240</v>
      </c>
      <c r="G3" s="13" t="s">
        <v>241</v>
      </c>
      <c r="K3" s="33">
        <v>1.1000000000000001</v>
      </c>
      <c r="L3" s="8" t="s">
        <v>352</v>
      </c>
      <c r="M3" s="8" t="str">
        <f>"j1"&amp;"    "&amp;N3</f>
        <v>j1    Numbers and Algebra — Algebraic Expressions</v>
      </c>
      <c r="N3" s="8" t="s">
        <v>595</v>
      </c>
      <c r="O3" s="8" t="s">
        <v>269</v>
      </c>
      <c r="P3" s="8" t="s">
        <v>240</v>
      </c>
      <c r="Q3" s="8" t="s">
        <v>353</v>
      </c>
      <c r="U3" s="31">
        <v>1.1000000000000001</v>
      </c>
      <c r="V3" s="15" t="s">
        <v>431</v>
      </c>
      <c r="W3" s="15" t="str">
        <f>"j1"&amp;"      "&amp;X3</f>
        <v>j1      Numbers and Algebra—Functions</v>
      </c>
      <c r="X3" s="24" t="s">
        <v>598</v>
      </c>
      <c r="Y3" s="15" t="s">
        <v>269</v>
      </c>
      <c r="Z3" s="15" t="s">
        <v>239</v>
      </c>
      <c r="AA3" s="16" t="s">
        <v>636</v>
      </c>
      <c r="AE3" s="28">
        <v>1.1000000000000001</v>
      </c>
      <c r="AF3" s="19" t="s">
        <v>244</v>
      </c>
      <c r="AG3" s="19" t="str">
        <f>"j1"&amp;"      "&amp;AH3</f>
        <v>j1      Shapes and Geometry – Coordinate Geometry</v>
      </c>
      <c r="AH3" s="19" t="s">
        <v>603</v>
      </c>
      <c r="AI3" s="19" t="s">
        <v>270</v>
      </c>
      <c r="AJ3" s="19" t="s">
        <v>240</v>
      </c>
      <c r="AK3" s="19" t="s">
        <v>351</v>
      </c>
    </row>
    <row r="4" spans="1:37" ht="13" customHeight="1">
      <c r="A4" s="36">
        <v>1.2</v>
      </c>
      <c r="B4" s="13" t="s">
        <v>272</v>
      </c>
      <c r="C4" s="13" t="str">
        <f>B1&amp;"     "&amp;D4</f>
        <v>j1     Numbers and Algebra – Numbers and Operations</v>
      </c>
      <c r="D4" s="13" t="s">
        <v>587</v>
      </c>
      <c r="E4" s="13" t="s">
        <v>269</v>
      </c>
      <c r="F4" s="13" t="s">
        <v>240</v>
      </c>
      <c r="G4" s="14" t="s">
        <v>699</v>
      </c>
      <c r="K4" s="33">
        <v>1.2</v>
      </c>
      <c r="L4" s="8" t="s">
        <v>354</v>
      </c>
      <c r="M4" s="8" t="str">
        <f>"j1"&amp;"    "&amp;N4</f>
        <v>j1    Numbers and Algebra — Algebraic Expressions</v>
      </c>
      <c r="N4" s="8" t="s">
        <v>595</v>
      </c>
      <c r="O4" s="8" t="s">
        <v>269</v>
      </c>
      <c r="P4" s="8" t="s">
        <v>239</v>
      </c>
      <c r="Q4" s="8" t="s">
        <v>355</v>
      </c>
      <c r="U4" s="31">
        <v>1.2</v>
      </c>
      <c r="V4" s="15" t="s">
        <v>432</v>
      </c>
      <c r="W4" s="15" t="str">
        <f>"j1"&amp;"      "&amp;X4</f>
        <v>j1      Numbers and Algebra—Functions</v>
      </c>
      <c r="X4" s="24" t="s">
        <v>598</v>
      </c>
      <c r="Y4" s="15" t="s">
        <v>269</v>
      </c>
      <c r="Z4" s="15" t="s">
        <v>239</v>
      </c>
      <c r="AA4" s="16" t="s">
        <v>636</v>
      </c>
      <c r="AE4" s="28">
        <v>1.2</v>
      </c>
      <c r="AF4" s="19" t="s">
        <v>507</v>
      </c>
      <c r="AG4" s="19" t="str">
        <f t="shared" ref="AG4:AG62" si="0">"j1"&amp;"      "&amp;AH4</f>
        <v>j1      Shapes and Geometry – Coordinate Geometry</v>
      </c>
      <c r="AH4" s="19" t="s">
        <v>603</v>
      </c>
      <c r="AI4" s="19" t="s">
        <v>239</v>
      </c>
      <c r="AJ4" s="19" t="s">
        <v>239</v>
      </c>
      <c r="AK4" s="19" t="s">
        <v>508</v>
      </c>
    </row>
    <row r="5" spans="1:37" ht="13" customHeight="1">
      <c r="A5" s="36">
        <v>1.3</v>
      </c>
      <c r="B5" s="13" t="s">
        <v>273</v>
      </c>
      <c r="C5" s="13" t="str">
        <f>B1&amp;"     "&amp;D5</f>
        <v>j1     Numbers and Algebra – Numbers and Operations</v>
      </c>
      <c r="D5" s="13" t="s">
        <v>587</v>
      </c>
      <c r="E5" s="13" t="s">
        <v>269</v>
      </c>
      <c r="F5" s="13" t="s">
        <v>240</v>
      </c>
      <c r="G5" s="13" t="s">
        <v>310</v>
      </c>
      <c r="K5" s="33">
        <v>1.3</v>
      </c>
      <c r="L5" s="8" t="s">
        <v>356</v>
      </c>
      <c r="M5" s="8" t="str">
        <f t="shared" ref="M5:M54" si="1">"j1"&amp;"    "&amp;N5</f>
        <v>j1    Numbers and Algebra — Algebraic Expressions</v>
      </c>
      <c r="N5" s="8" t="s">
        <v>595</v>
      </c>
      <c r="O5" s="8" t="s">
        <v>270</v>
      </c>
      <c r="P5" s="8" t="s">
        <v>239</v>
      </c>
      <c r="Q5" s="9" t="s">
        <v>688</v>
      </c>
      <c r="U5" s="31">
        <v>1.3</v>
      </c>
      <c r="V5" s="15" t="s">
        <v>433</v>
      </c>
      <c r="W5" s="15" t="str">
        <f>"j1"&amp;"      "&amp;X5</f>
        <v>j1      Numbers and Algebra—Functions</v>
      </c>
      <c r="X5" s="24" t="s">
        <v>598</v>
      </c>
      <c r="Y5" s="15" t="s">
        <v>239</v>
      </c>
      <c r="Z5" s="15" t="s">
        <v>239</v>
      </c>
      <c r="AA5" s="16" t="s">
        <v>637</v>
      </c>
      <c r="AE5" s="28">
        <v>1.3</v>
      </c>
      <c r="AF5" s="19" t="s">
        <v>509</v>
      </c>
      <c r="AG5" s="19" t="str">
        <f t="shared" si="0"/>
        <v>j1      Shapes and Geometry – Coordinate Geometry</v>
      </c>
      <c r="AH5" s="19" t="s">
        <v>603</v>
      </c>
      <c r="AI5" s="19" t="s">
        <v>239</v>
      </c>
      <c r="AJ5" s="19" t="s">
        <v>239</v>
      </c>
      <c r="AK5" s="19" t="s">
        <v>510</v>
      </c>
    </row>
    <row r="6" spans="1:37" ht="13" customHeight="1">
      <c r="A6" s="36">
        <v>1.4</v>
      </c>
      <c r="B6" s="13" t="s">
        <v>245</v>
      </c>
      <c r="C6" s="13" t="str">
        <f>B1&amp;"     "&amp;D6</f>
        <v>j1     Numbers and Algebra – Numbers and Operations</v>
      </c>
      <c r="D6" s="13" t="s">
        <v>587</v>
      </c>
      <c r="E6" s="13" t="s">
        <v>269</v>
      </c>
      <c r="F6" s="13" t="s">
        <v>239</v>
      </c>
      <c r="G6" s="13" t="s">
        <v>311</v>
      </c>
      <c r="K6" s="33">
        <v>2.1</v>
      </c>
      <c r="L6" s="8" t="s">
        <v>357</v>
      </c>
      <c r="M6" s="8" t="str">
        <f t="shared" si="1"/>
        <v>j1    Numbers and Algebra — Algebraic Expressions</v>
      </c>
      <c r="N6" s="8" t="s">
        <v>595</v>
      </c>
      <c r="O6" s="8" t="s">
        <v>270</v>
      </c>
      <c r="P6" s="8" t="s">
        <v>269</v>
      </c>
      <c r="Q6" s="9" t="s">
        <v>689</v>
      </c>
      <c r="U6" s="31">
        <v>2.1</v>
      </c>
      <c r="V6" s="15" t="s">
        <v>434</v>
      </c>
      <c r="W6" s="15" t="str">
        <f>"j1"&amp;"      "&amp;X6</f>
        <v>j1      Numbers and Algebra – Exponents and Logarithms</v>
      </c>
      <c r="X6" s="24" t="s">
        <v>608</v>
      </c>
      <c r="Y6" s="15" t="s">
        <v>269</v>
      </c>
      <c r="Z6" s="15" t="s">
        <v>239</v>
      </c>
      <c r="AA6" s="16" t="s">
        <v>638</v>
      </c>
      <c r="AE6" s="28">
        <v>1.4</v>
      </c>
      <c r="AF6" s="19" t="s">
        <v>511</v>
      </c>
      <c r="AG6" s="19" t="str">
        <f t="shared" si="0"/>
        <v>j1      Shapes and Geometry – Coordinate Geometry</v>
      </c>
      <c r="AH6" s="19" t="s">
        <v>603</v>
      </c>
      <c r="AI6" s="19" t="s">
        <v>270</v>
      </c>
      <c r="AJ6" s="19" t="s">
        <v>239</v>
      </c>
      <c r="AK6" s="20" t="s">
        <v>691</v>
      </c>
    </row>
    <row r="7" spans="1:37" ht="13" customHeight="1">
      <c r="A7" s="36">
        <v>2.1</v>
      </c>
      <c r="B7" s="13" t="s">
        <v>274</v>
      </c>
      <c r="C7" s="13" t="str">
        <f>"j1"&amp;"     "&amp;D7</f>
        <v>j1     Numbers and Algebra—Number Theory</v>
      </c>
      <c r="D7" s="13" t="s">
        <v>588</v>
      </c>
      <c r="E7" s="13" t="s">
        <v>239</v>
      </c>
      <c r="F7" s="13" t="s">
        <v>271</v>
      </c>
      <c r="G7" s="14" t="s">
        <v>700</v>
      </c>
      <c r="K7" s="33">
        <v>2.2000000000000002</v>
      </c>
      <c r="L7" s="8" t="s">
        <v>358</v>
      </c>
      <c r="M7" s="8" t="str">
        <f t="shared" si="1"/>
        <v>j1    Numbers and Algebra — Algebraic Expressions</v>
      </c>
      <c r="N7" s="8" t="s">
        <v>595</v>
      </c>
      <c r="O7" s="8" t="s">
        <v>269</v>
      </c>
      <c r="P7" s="8" t="s">
        <v>239</v>
      </c>
      <c r="Q7" s="8" t="s">
        <v>359</v>
      </c>
      <c r="U7" s="31">
        <v>2.2000000000000002</v>
      </c>
      <c r="V7" s="15" t="s">
        <v>435</v>
      </c>
      <c r="W7" s="15" t="str">
        <f t="shared" ref="W7:W48" si="2">"j1"&amp;"      "&amp;X7</f>
        <v>j1      Numbers and Algebra – Exponents and Logarithms</v>
      </c>
      <c r="X7" s="24" t="s">
        <v>608</v>
      </c>
      <c r="Y7" s="15" t="s">
        <v>269</v>
      </c>
      <c r="Z7" s="15" t="s">
        <v>269</v>
      </c>
      <c r="AA7" s="16"/>
      <c r="AE7" s="28">
        <v>1.5</v>
      </c>
      <c r="AF7" s="19" t="s">
        <v>512</v>
      </c>
      <c r="AG7" s="19" t="str">
        <f t="shared" si="0"/>
        <v>j1      Shapes and Geometry – Coordinate Geometry</v>
      </c>
      <c r="AH7" s="19" t="s">
        <v>603</v>
      </c>
      <c r="AI7" s="19" t="s">
        <v>270</v>
      </c>
      <c r="AJ7" s="19" t="s">
        <v>239</v>
      </c>
      <c r="AK7" s="20" t="s">
        <v>697</v>
      </c>
    </row>
    <row r="8" spans="1:37" ht="13" customHeight="1">
      <c r="A8" s="36">
        <v>2.2000000000000002</v>
      </c>
      <c r="B8" s="13" t="s">
        <v>275</v>
      </c>
      <c r="C8" s="13" t="str">
        <f>B1&amp;"     "&amp;D8</f>
        <v>j1     Numbers and Algebra—Number Theory</v>
      </c>
      <c r="D8" s="13" t="s">
        <v>588</v>
      </c>
      <c r="E8" s="13" t="s">
        <v>269</v>
      </c>
      <c r="F8" s="13" t="s">
        <v>240</v>
      </c>
      <c r="G8" s="14" t="s">
        <v>312</v>
      </c>
      <c r="K8" s="33">
        <v>3.1</v>
      </c>
      <c r="L8" s="8" t="s">
        <v>360</v>
      </c>
      <c r="M8" s="8" t="str">
        <f t="shared" si="1"/>
        <v>j1    Numbers and Algebra — Real Numbers</v>
      </c>
      <c r="N8" s="8" t="s">
        <v>604</v>
      </c>
      <c r="O8" s="8" t="s">
        <v>269</v>
      </c>
      <c r="P8" s="8" t="s">
        <v>239</v>
      </c>
      <c r="Q8" s="8"/>
      <c r="U8" s="31">
        <v>2.2999999999999998</v>
      </c>
      <c r="V8" s="15" t="s">
        <v>436</v>
      </c>
      <c r="W8" s="15" t="str">
        <f t="shared" si="2"/>
        <v>j1      Numbers and Algebra – Exponents and Logarithms</v>
      </c>
      <c r="X8" s="24" t="s">
        <v>608</v>
      </c>
      <c r="Y8" s="15" t="s">
        <v>269</v>
      </c>
      <c r="Z8" s="15" t="s">
        <v>269</v>
      </c>
      <c r="AA8" s="16" t="s">
        <v>639</v>
      </c>
      <c r="AE8" s="28">
        <v>1.6</v>
      </c>
      <c r="AF8" s="19" t="s">
        <v>513</v>
      </c>
      <c r="AG8" s="19" t="str">
        <f t="shared" si="0"/>
        <v>j1      Shapes and Geometry – Coordinate Geometry</v>
      </c>
      <c r="AH8" s="19" t="s">
        <v>603</v>
      </c>
      <c r="AI8" s="19" t="s">
        <v>270</v>
      </c>
      <c r="AJ8" s="19" t="s">
        <v>239</v>
      </c>
      <c r="AK8" s="19" t="s">
        <v>640</v>
      </c>
    </row>
    <row r="9" spans="1:37" ht="13" customHeight="1">
      <c r="A9" s="36">
        <v>2.2999999999999998</v>
      </c>
      <c r="B9" s="13" t="s">
        <v>276</v>
      </c>
      <c r="C9" s="13" t="str">
        <f>B1&amp;"     "&amp;D9</f>
        <v>j1     Numbers and Algebra—Number Theory</v>
      </c>
      <c r="D9" s="13" t="s">
        <v>588</v>
      </c>
      <c r="E9" s="13" t="s">
        <v>269</v>
      </c>
      <c r="F9" s="13" t="s">
        <v>240</v>
      </c>
      <c r="G9" s="13" t="s">
        <v>313</v>
      </c>
      <c r="K9" s="33">
        <v>3.2</v>
      </c>
      <c r="L9" s="8" t="s">
        <v>361</v>
      </c>
      <c r="M9" s="8" t="str">
        <f t="shared" si="1"/>
        <v>j1    Numbers and Algebra — Real Numbers</v>
      </c>
      <c r="N9" s="8" t="s">
        <v>604</v>
      </c>
      <c r="O9" s="8" t="s">
        <v>239</v>
      </c>
      <c r="P9" s="8" t="s">
        <v>239</v>
      </c>
      <c r="Q9" s="9" t="s">
        <v>623</v>
      </c>
      <c r="U9" s="31">
        <v>2.4</v>
      </c>
      <c r="V9" s="15" t="s">
        <v>437</v>
      </c>
      <c r="W9" s="15" t="str">
        <f t="shared" si="2"/>
        <v>j1      Numbers and Algebra – Exponents and Logarithms</v>
      </c>
      <c r="X9" s="24" t="s">
        <v>608</v>
      </c>
      <c r="Y9" s="15" t="s">
        <v>270</v>
      </c>
      <c r="Z9" s="15" t="s">
        <v>269</v>
      </c>
      <c r="AA9" s="16" t="s">
        <v>635</v>
      </c>
      <c r="AE9" s="28">
        <v>1.7</v>
      </c>
      <c r="AF9" s="19" t="s">
        <v>514</v>
      </c>
      <c r="AG9" s="19" t="str">
        <f t="shared" si="0"/>
        <v>j1      Shapes and Geometry – Coordinate Geometry</v>
      </c>
      <c r="AH9" s="19" t="s">
        <v>603</v>
      </c>
      <c r="AI9" s="19" t="s">
        <v>269</v>
      </c>
      <c r="AJ9" s="19" t="s">
        <v>269</v>
      </c>
      <c r="AK9" s="19"/>
    </row>
    <row r="10" spans="1:37" ht="13" customHeight="1">
      <c r="A10" s="36">
        <v>2.4</v>
      </c>
      <c r="B10" s="13" t="s">
        <v>277</v>
      </c>
      <c r="C10" s="13" t="str">
        <f>B1&amp;"     "&amp;D10</f>
        <v>j1     Numbers and Algebra—Number Theory</v>
      </c>
      <c r="D10" s="13" t="s">
        <v>588</v>
      </c>
      <c r="E10" s="13" t="s">
        <v>269</v>
      </c>
      <c r="F10" s="13" t="s">
        <v>239</v>
      </c>
      <c r="G10" s="13" t="s">
        <v>314</v>
      </c>
      <c r="K10" s="33">
        <v>3.3</v>
      </c>
      <c r="L10" s="8" t="s">
        <v>362</v>
      </c>
      <c r="M10" s="8" t="str">
        <f t="shared" si="1"/>
        <v>j1    Numbers and Algebra — Real Numbers</v>
      </c>
      <c r="N10" s="8" t="s">
        <v>604</v>
      </c>
      <c r="O10" s="8" t="s">
        <v>269</v>
      </c>
      <c r="P10" s="8" t="s">
        <v>239</v>
      </c>
      <c r="Q10" s="8" t="s">
        <v>363</v>
      </c>
      <c r="U10" s="31">
        <v>3.1</v>
      </c>
      <c r="V10" s="15" t="s">
        <v>438</v>
      </c>
      <c r="W10" s="15" t="str">
        <f t="shared" si="2"/>
        <v>j1      Statistics and Probability – Statistics</v>
      </c>
      <c r="X10" s="24" t="s">
        <v>613</v>
      </c>
      <c r="Y10" s="15" t="s">
        <v>239</v>
      </c>
      <c r="Z10" s="15" t="s">
        <v>240</v>
      </c>
      <c r="AA10" s="15" t="s">
        <v>439</v>
      </c>
      <c r="AE10" s="28">
        <v>2.1</v>
      </c>
      <c r="AF10" s="19" t="s">
        <v>515</v>
      </c>
      <c r="AG10" s="19" t="str">
        <f t="shared" si="0"/>
        <v>j1      Numbers and Algebra — Equations and Inequalities</v>
      </c>
      <c r="AH10" s="19" t="s">
        <v>596</v>
      </c>
      <c r="AI10" s="19" t="s">
        <v>270</v>
      </c>
      <c r="AJ10" s="19" t="s">
        <v>239</v>
      </c>
      <c r="AK10" s="20" t="s">
        <v>692</v>
      </c>
    </row>
    <row r="11" spans="1:37" ht="13" customHeight="1">
      <c r="A11" s="36">
        <v>2.5</v>
      </c>
      <c r="B11" s="13" t="s">
        <v>278</v>
      </c>
      <c r="C11" s="13" t="str">
        <f>B1&amp;"     "&amp;D11</f>
        <v>j1     Numbers and Algebra—Number Theory</v>
      </c>
      <c r="D11" s="13" t="s">
        <v>588</v>
      </c>
      <c r="E11" s="13" t="s">
        <v>269</v>
      </c>
      <c r="F11" s="13" t="s">
        <v>239</v>
      </c>
      <c r="G11" s="14" t="s">
        <v>315</v>
      </c>
      <c r="K11" s="33">
        <v>3.4</v>
      </c>
      <c r="L11" s="8" t="s">
        <v>364</v>
      </c>
      <c r="M11" s="8" t="str">
        <f t="shared" si="1"/>
        <v>j1    Numbers and Algebra — Real Numbers</v>
      </c>
      <c r="N11" s="8" t="s">
        <v>604</v>
      </c>
      <c r="O11" s="8" t="s">
        <v>270</v>
      </c>
      <c r="P11" s="8" t="s">
        <v>239</v>
      </c>
      <c r="Q11" s="9" t="s">
        <v>624</v>
      </c>
      <c r="U11" s="31">
        <v>3.2</v>
      </c>
      <c r="V11" s="15" t="s">
        <v>440</v>
      </c>
      <c r="W11" s="15" t="str">
        <f t="shared" si="2"/>
        <v>j1      Statistics and Probability – Statistics</v>
      </c>
      <c r="X11" s="24" t="s">
        <v>613</v>
      </c>
      <c r="Y11" s="15" t="s">
        <v>269</v>
      </c>
      <c r="Z11" s="15" t="s">
        <v>239</v>
      </c>
      <c r="AA11" s="15" t="s">
        <v>441</v>
      </c>
      <c r="AE11" s="28">
        <v>2.2000000000000002</v>
      </c>
      <c r="AF11" s="19" t="s">
        <v>516</v>
      </c>
      <c r="AG11" s="19" t="str">
        <f t="shared" si="0"/>
        <v>j1      Numbers and Algebra — Equations and Inequalities</v>
      </c>
      <c r="AH11" s="19" t="s">
        <v>596</v>
      </c>
      <c r="AI11" s="19" t="s">
        <v>270</v>
      </c>
      <c r="AJ11" s="19" t="s">
        <v>269</v>
      </c>
      <c r="AK11" s="20" t="s">
        <v>641</v>
      </c>
    </row>
    <row r="12" spans="1:37" ht="13" customHeight="1">
      <c r="A12" s="36">
        <v>2.6</v>
      </c>
      <c r="B12" s="13" t="s">
        <v>279</v>
      </c>
      <c r="C12" s="13" t="str">
        <f>"j1"&amp;"     "&amp;D12</f>
        <v>j1     Numbers and Algebra—Number Theory</v>
      </c>
      <c r="D12" s="13" t="s">
        <v>588</v>
      </c>
      <c r="E12" s="13" t="s">
        <v>269</v>
      </c>
      <c r="F12" s="13" t="s">
        <v>239</v>
      </c>
      <c r="G12" s="14" t="s">
        <v>316</v>
      </c>
      <c r="K12" s="33">
        <v>3.5</v>
      </c>
      <c r="L12" s="8" t="s">
        <v>365</v>
      </c>
      <c r="M12" s="8" t="str">
        <f t="shared" si="1"/>
        <v>j1    Numbers and Algebra — Real Numbers</v>
      </c>
      <c r="N12" s="8" t="s">
        <v>604</v>
      </c>
      <c r="O12" s="8" t="s">
        <v>270</v>
      </c>
      <c r="P12" s="8" t="s">
        <v>269</v>
      </c>
      <c r="Q12" s="8" t="s">
        <v>366</v>
      </c>
      <c r="U12" s="31">
        <v>3.3</v>
      </c>
      <c r="V12" s="15" t="s">
        <v>442</v>
      </c>
      <c r="W12" s="15" t="str">
        <f t="shared" si="2"/>
        <v>j1      Statistics and Probability – Statistics</v>
      </c>
      <c r="X12" s="24" t="s">
        <v>613</v>
      </c>
      <c r="Y12" s="15" t="s">
        <v>269</v>
      </c>
      <c r="Z12" s="15" t="s">
        <v>240</v>
      </c>
      <c r="AA12" s="15" t="s">
        <v>443</v>
      </c>
      <c r="AE12" s="28">
        <v>2.2999999999999998</v>
      </c>
      <c r="AF12" s="19" t="s">
        <v>517</v>
      </c>
      <c r="AG12" s="19" t="str">
        <f t="shared" si="0"/>
        <v>j1      Numbers and Algebra—Functions</v>
      </c>
      <c r="AH12" s="19" t="s">
        <v>598</v>
      </c>
      <c r="AI12" s="19" t="s">
        <v>270</v>
      </c>
      <c r="AJ12" s="19" t="s">
        <v>269</v>
      </c>
      <c r="AK12" s="19" t="s">
        <v>645</v>
      </c>
    </row>
    <row r="13" spans="1:37" ht="12.75" customHeight="1">
      <c r="A13" s="36">
        <v>2.7</v>
      </c>
      <c r="B13" s="13" t="s">
        <v>280</v>
      </c>
      <c r="C13" s="13" t="str">
        <f t="shared" ref="C13:C68" si="3">"j1"&amp;"     "&amp;D13</f>
        <v>j1     Numbers and Algebra—Number Theory</v>
      </c>
      <c r="D13" s="13" t="s">
        <v>588</v>
      </c>
      <c r="E13" s="13" t="s">
        <v>269</v>
      </c>
      <c r="F13" s="13" t="s">
        <v>239</v>
      </c>
      <c r="G13" s="14" t="s">
        <v>664</v>
      </c>
      <c r="K13" s="33">
        <v>4.0999999999999996</v>
      </c>
      <c r="L13" s="8" t="s">
        <v>367</v>
      </c>
      <c r="M13" s="8" t="str">
        <f t="shared" si="1"/>
        <v>j1    Shapes and Geometry—Triangles</v>
      </c>
      <c r="N13" s="8" t="s">
        <v>609</v>
      </c>
      <c r="O13" s="8" t="s">
        <v>270</v>
      </c>
      <c r="P13" s="8" t="s">
        <v>240</v>
      </c>
      <c r="Q13" s="8" t="s">
        <v>687</v>
      </c>
      <c r="U13" s="31">
        <v>3.4</v>
      </c>
      <c r="V13" s="15" t="s">
        <v>444</v>
      </c>
      <c r="W13" s="15" t="str">
        <f t="shared" si="2"/>
        <v>j1      Statistics and Probability – Statistics</v>
      </c>
      <c r="X13" s="24" t="s">
        <v>613</v>
      </c>
      <c r="Y13" s="15" t="s">
        <v>239</v>
      </c>
      <c r="Z13" s="15" t="s">
        <v>239</v>
      </c>
      <c r="AA13" s="15" t="s">
        <v>445</v>
      </c>
      <c r="AE13" s="28">
        <v>2.4</v>
      </c>
      <c r="AF13" s="19" t="s">
        <v>518</v>
      </c>
      <c r="AG13" s="19" t="str">
        <f t="shared" si="0"/>
        <v>j1      Numbers and Algebra—Functions</v>
      </c>
      <c r="AH13" s="19" t="s">
        <v>598</v>
      </c>
      <c r="AI13" s="19" t="s">
        <v>269</v>
      </c>
      <c r="AJ13" s="19" t="s">
        <v>269</v>
      </c>
      <c r="AK13" s="19" t="s">
        <v>519</v>
      </c>
    </row>
    <row r="14" spans="1:37" ht="12.75" customHeight="1">
      <c r="A14" s="36">
        <v>2.8</v>
      </c>
      <c r="B14" s="13" t="s">
        <v>281</v>
      </c>
      <c r="C14" s="13" t="str">
        <f t="shared" si="3"/>
        <v>j1     Numbers and Algebra—Number Theory</v>
      </c>
      <c r="D14" s="13" t="s">
        <v>588</v>
      </c>
      <c r="E14" s="13" t="s">
        <v>239</v>
      </c>
      <c r="F14" s="13" t="s">
        <v>239</v>
      </c>
      <c r="G14" s="13" t="s">
        <v>317</v>
      </c>
      <c r="K14" s="33">
        <v>4.2</v>
      </c>
      <c r="L14" s="8" t="s">
        <v>368</v>
      </c>
      <c r="M14" s="8" t="str">
        <f t="shared" si="1"/>
        <v>j1    Shapes and Geometry—Triangles</v>
      </c>
      <c r="N14" s="8" t="s">
        <v>609</v>
      </c>
      <c r="O14" s="8" t="s">
        <v>270</v>
      </c>
      <c r="P14" s="8" t="s">
        <v>239</v>
      </c>
      <c r="Q14" s="8" t="s">
        <v>622</v>
      </c>
      <c r="U14" s="31">
        <v>4.0999999999999996</v>
      </c>
      <c r="V14" s="15" t="s">
        <v>446</v>
      </c>
      <c r="W14" s="15" t="str">
        <f t="shared" si="2"/>
        <v>j1      Statistics and Probability – Statistics</v>
      </c>
      <c r="X14" s="24" t="s">
        <v>613</v>
      </c>
      <c r="Y14" s="15" t="s">
        <v>270</v>
      </c>
      <c r="Z14" s="15" t="s">
        <v>239</v>
      </c>
      <c r="AA14" s="15" t="s">
        <v>447</v>
      </c>
      <c r="AE14" s="28">
        <v>2.5</v>
      </c>
      <c r="AF14" s="21" t="s">
        <v>520</v>
      </c>
      <c r="AG14" s="19" t="str">
        <f t="shared" si="0"/>
        <v>j1      Numbers and Algebra—Functions</v>
      </c>
      <c r="AH14" s="19" t="s">
        <v>598</v>
      </c>
      <c r="AI14" s="19" t="s">
        <v>269</v>
      </c>
      <c r="AJ14" s="19" t="s">
        <v>269</v>
      </c>
      <c r="AK14" s="20" t="s">
        <v>696</v>
      </c>
    </row>
    <row r="15" spans="1:37" ht="13" customHeight="1">
      <c r="A15" s="36">
        <v>3.1</v>
      </c>
      <c r="B15" s="13" t="s">
        <v>282</v>
      </c>
      <c r="C15" s="13" t="str">
        <f t="shared" si="3"/>
        <v>j1     Numbers and Algebra – Numbers and Operations</v>
      </c>
      <c r="D15" s="13" t="s">
        <v>587</v>
      </c>
      <c r="E15" s="13" t="s">
        <v>269</v>
      </c>
      <c r="F15" s="13" t="s">
        <v>240</v>
      </c>
      <c r="G15" s="13" t="s">
        <v>318</v>
      </c>
      <c r="K15" s="33">
        <v>4.3</v>
      </c>
      <c r="L15" s="8" t="s">
        <v>369</v>
      </c>
      <c r="M15" s="8" t="str">
        <f t="shared" si="1"/>
        <v>j1    Shapes and Geometry—Triangles</v>
      </c>
      <c r="N15" s="8" t="s">
        <v>609</v>
      </c>
      <c r="O15" s="8" t="s">
        <v>270</v>
      </c>
      <c r="P15" s="8" t="s">
        <v>239</v>
      </c>
      <c r="Q15" s="8" t="s">
        <v>370</v>
      </c>
      <c r="U15" s="31">
        <v>4.2</v>
      </c>
      <c r="V15" s="15" t="s">
        <v>448</v>
      </c>
      <c r="W15" s="15" t="str">
        <f t="shared" si="2"/>
        <v>j1      Statistics and Probability – Statistics</v>
      </c>
      <c r="X15" s="24" t="s">
        <v>613</v>
      </c>
      <c r="Y15" s="15" t="s">
        <v>269</v>
      </c>
      <c r="Z15" s="15" t="s">
        <v>239</v>
      </c>
      <c r="AA15" s="16"/>
      <c r="AE15" s="28">
        <v>3.1</v>
      </c>
      <c r="AF15" s="19" t="s">
        <v>352</v>
      </c>
      <c r="AG15" s="19" t="str">
        <f t="shared" si="0"/>
        <v>j1      Numbers and Algebra — Algebraic Expressions</v>
      </c>
      <c r="AH15" s="19" t="s">
        <v>595</v>
      </c>
      <c r="AI15" s="19" t="s">
        <v>269</v>
      </c>
      <c r="AJ15" s="19" t="s">
        <v>240</v>
      </c>
      <c r="AK15" s="19" t="s">
        <v>521</v>
      </c>
    </row>
    <row r="16" spans="1:37" ht="13" customHeight="1">
      <c r="A16" s="36">
        <v>3.2</v>
      </c>
      <c r="B16" s="13" t="s">
        <v>283</v>
      </c>
      <c r="C16" s="13" t="str">
        <f t="shared" si="3"/>
        <v>j1     Numbers and Algebra – Numbers and Operations</v>
      </c>
      <c r="D16" s="13" t="s">
        <v>587</v>
      </c>
      <c r="E16" s="13" t="s">
        <v>269</v>
      </c>
      <c r="F16" s="13" t="s">
        <v>240</v>
      </c>
      <c r="G16" s="13" t="s">
        <v>319</v>
      </c>
      <c r="K16" s="33">
        <v>4.4000000000000004</v>
      </c>
      <c r="L16" s="8" t="s">
        <v>371</v>
      </c>
      <c r="M16" s="8" t="str">
        <f t="shared" si="1"/>
        <v>j1    Shapes and Geometry—Triangles</v>
      </c>
      <c r="N16" s="8" t="s">
        <v>609</v>
      </c>
      <c r="O16" s="8" t="s">
        <v>270</v>
      </c>
      <c r="P16" s="8" t="s">
        <v>239</v>
      </c>
      <c r="Q16" s="8" t="s">
        <v>372</v>
      </c>
      <c r="U16" s="31">
        <v>5.0999999999999996</v>
      </c>
      <c r="V16" s="15" t="s">
        <v>449</v>
      </c>
      <c r="W16" s="15" t="str">
        <f t="shared" si="2"/>
        <v>j1      Shapes and Geometry—Similarity and Congruence</v>
      </c>
      <c r="X16" s="24" t="s">
        <v>614</v>
      </c>
      <c r="Y16" s="15" t="s">
        <v>270</v>
      </c>
      <c r="Z16" s="15" t="s">
        <v>239</v>
      </c>
      <c r="AA16" s="15" t="s">
        <v>450</v>
      </c>
      <c r="AE16" s="28">
        <v>3.2</v>
      </c>
      <c r="AF16" s="19" t="s">
        <v>522</v>
      </c>
      <c r="AG16" s="19" t="str">
        <f t="shared" si="0"/>
        <v>j1      Numbers and Algebra — Algebraic Expressions</v>
      </c>
      <c r="AH16" s="19" t="s">
        <v>595</v>
      </c>
      <c r="AI16" s="19" t="s">
        <v>269</v>
      </c>
      <c r="AJ16" s="19" t="s">
        <v>269</v>
      </c>
      <c r="AK16" s="20" t="s">
        <v>523</v>
      </c>
    </row>
    <row r="17" spans="1:37" ht="13" customHeight="1">
      <c r="A17" s="36">
        <v>3.3</v>
      </c>
      <c r="B17" s="13" t="s">
        <v>284</v>
      </c>
      <c r="C17" s="13" t="str">
        <f t="shared" si="3"/>
        <v>j1     Numbers and Algebra – Numbers and Operations</v>
      </c>
      <c r="D17" s="13" t="s">
        <v>587</v>
      </c>
      <c r="E17" s="13" t="s">
        <v>269</v>
      </c>
      <c r="F17" s="13" t="s">
        <v>239</v>
      </c>
      <c r="G17" s="13" t="s">
        <v>320</v>
      </c>
      <c r="K17" s="33">
        <v>4.5</v>
      </c>
      <c r="L17" s="8" t="s">
        <v>373</v>
      </c>
      <c r="M17" s="8" t="str">
        <f t="shared" si="1"/>
        <v>j1    Shapes and Geometry—Triangles</v>
      </c>
      <c r="N17" s="8" t="s">
        <v>609</v>
      </c>
      <c r="O17" s="8" t="s">
        <v>270</v>
      </c>
      <c r="P17" s="8" t="s">
        <v>239</v>
      </c>
      <c r="Q17" s="8" t="s">
        <v>374</v>
      </c>
      <c r="U17" s="31">
        <v>5.2</v>
      </c>
      <c r="V17" s="15" t="s">
        <v>451</v>
      </c>
      <c r="W17" s="15" t="str">
        <f t="shared" si="2"/>
        <v>j1      Shapes and Geometry—Similarity and Congruence</v>
      </c>
      <c r="X17" s="24" t="s">
        <v>614</v>
      </c>
      <c r="Y17" s="15" t="s">
        <v>270</v>
      </c>
      <c r="Z17" s="15" t="s">
        <v>269</v>
      </c>
      <c r="AA17" s="15" t="s">
        <v>452</v>
      </c>
      <c r="AE17" s="28">
        <v>3.3</v>
      </c>
      <c r="AF17" s="19" t="s">
        <v>524</v>
      </c>
      <c r="AG17" s="19" t="str">
        <f t="shared" si="0"/>
        <v>j1      Numbers and Algebra — Algebraic Expressions</v>
      </c>
      <c r="AH17" s="19" t="s">
        <v>595</v>
      </c>
      <c r="AI17" s="19" t="s">
        <v>270</v>
      </c>
      <c r="AJ17" s="19" t="s">
        <v>269</v>
      </c>
      <c r="AK17" s="20" t="s">
        <v>642</v>
      </c>
    </row>
    <row r="18" spans="1:37" ht="13" customHeight="1">
      <c r="A18" s="36">
        <v>3.4</v>
      </c>
      <c r="B18" s="13" t="s">
        <v>285</v>
      </c>
      <c r="C18" s="13" t="str">
        <f t="shared" si="3"/>
        <v>j1     Numbers and Algebra – Numbers and Operations</v>
      </c>
      <c r="D18" s="13" t="s">
        <v>587</v>
      </c>
      <c r="E18" s="13" t="s">
        <v>269</v>
      </c>
      <c r="F18" s="13" t="s">
        <v>240</v>
      </c>
      <c r="G18" s="13"/>
      <c r="K18" s="33">
        <v>5.0999999999999996</v>
      </c>
      <c r="L18" s="8" t="s">
        <v>375</v>
      </c>
      <c r="M18" s="8" t="str">
        <f t="shared" si="1"/>
        <v>j1    Shapes and Geometry – Quadrilaterals and Polygons</v>
      </c>
      <c r="N18" s="8" t="s">
        <v>610</v>
      </c>
      <c r="O18" s="8" t="s">
        <v>269</v>
      </c>
      <c r="P18" s="8" t="s">
        <v>240</v>
      </c>
      <c r="Q18" s="8" t="s">
        <v>621</v>
      </c>
      <c r="U18" s="31">
        <v>5.3</v>
      </c>
      <c r="V18" s="15" t="s">
        <v>453</v>
      </c>
      <c r="W18" s="15" t="str">
        <f t="shared" si="2"/>
        <v>j1      Shapes and Geometry—Similarity and Congruence</v>
      </c>
      <c r="X18" s="24" t="s">
        <v>614</v>
      </c>
      <c r="Y18" s="15" t="s">
        <v>270</v>
      </c>
      <c r="Z18" s="15" t="s">
        <v>239</v>
      </c>
      <c r="AA18" s="24" t="s">
        <v>634</v>
      </c>
      <c r="AE18" s="28">
        <v>3.4</v>
      </c>
      <c r="AF18" s="19" t="s">
        <v>525</v>
      </c>
      <c r="AG18" s="19" t="str">
        <f t="shared" si="0"/>
        <v>j1      Numbers and Algebra — Algebraic Expressions</v>
      </c>
      <c r="AH18" s="19" t="s">
        <v>595</v>
      </c>
      <c r="AI18" s="19" t="s">
        <v>270</v>
      </c>
      <c r="AJ18" s="19" t="s">
        <v>269</v>
      </c>
      <c r="AK18" s="19" t="s">
        <v>526</v>
      </c>
    </row>
    <row r="19" spans="1:37" ht="13" customHeight="1">
      <c r="A19" s="36">
        <v>3.5</v>
      </c>
      <c r="B19" s="13" t="s">
        <v>286</v>
      </c>
      <c r="C19" s="13" t="str">
        <f t="shared" si="3"/>
        <v>j1     Numbers and Algebra – Sequences</v>
      </c>
      <c r="D19" s="13" t="s">
        <v>589</v>
      </c>
      <c r="E19" s="13" t="s">
        <v>239</v>
      </c>
      <c r="F19" s="13" t="s">
        <v>239</v>
      </c>
      <c r="G19" s="13" t="s">
        <v>617</v>
      </c>
      <c r="K19" s="33">
        <v>5.2</v>
      </c>
      <c r="L19" s="8" t="s">
        <v>376</v>
      </c>
      <c r="M19" s="8" t="str">
        <f t="shared" si="1"/>
        <v>j1    Shapes and Geometry – Quadrilaterals and Polygons</v>
      </c>
      <c r="N19" s="8" t="s">
        <v>610</v>
      </c>
      <c r="O19" s="8" t="s">
        <v>270</v>
      </c>
      <c r="P19" s="8" t="s">
        <v>239</v>
      </c>
      <c r="Q19" s="8" t="s">
        <v>377</v>
      </c>
      <c r="U19" s="31">
        <v>6.1</v>
      </c>
      <c r="V19" s="15" t="s">
        <v>454</v>
      </c>
      <c r="W19" s="15" t="str">
        <f t="shared" si="2"/>
        <v>j1      Shapes and Geometry – 3D Shapes</v>
      </c>
      <c r="X19" s="24" t="s">
        <v>615</v>
      </c>
      <c r="Y19" s="15" t="s">
        <v>239</v>
      </c>
      <c r="Z19" s="15" t="s">
        <v>240</v>
      </c>
      <c r="AA19" s="15" t="s">
        <v>455</v>
      </c>
      <c r="AE19" s="28">
        <v>3.5</v>
      </c>
      <c r="AF19" s="19" t="s">
        <v>527</v>
      </c>
      <c r="AG19" s="19" t="str">
        <f t="shared" si="0"/>
        <v>j1      Numbers and Algebra — Equations and Inequalities</v>
      </c>
      <c r="AH19" s="19" t="s">
        <v>596</v>
      </c>
      <c r="AI19" s="19" t="s">
        <v>269</v>
      </c>
      <c r="AJ19" s="19" t="s">
        <v>269</v>
      </c>
      <c r="AK19" s="19" t="s">
        <v>528</v>
      </c>
    </row>
    <row r="20" spans="1:37" ht="13" customHeight="1">
      <c r="A20" s="36">
        <v>4.0999999999999996</v>
      </c>
      <c r="B20" s="13" t="s">
        <v>287</v>
      </c>
      <c r="C20" s="13" t="str">
        <f t="shared" si="3"/>
        <v>j1     Numbers and Algebra – Fractions</v>
      </c>
      <c r="D20" s="13" t="s">
        <v>590</v>
      </c>
      <c r="E20" s="13" t="s">
        <v>270</v>
      </c>
      <c r="F20" s="13" t="s">
        <v>240</v>
      </c>
      <c r="G20" s="14" t="s">
        <v>701</v>
      </c>
      <c r="K20" s="33">
        <v>5.3</v>
      </c>
      <c r="L20" s="8" t="s">
        <v>378</v>
      </c>
      <c r="M20" s="8" t="str">
        <f t="shared" si="1"/>
        <v>j1    Shapes and Geometry – Quadrilaterals and Polygons</v>
      </c>
      <c r="N20" s="8" t="s">
        <v>610</v>
      </c>
      <c r="O20" s="8" t="s">
        <v>269</v>
      </c>
      <c r="P20" s="8" t="s">
        <v>240</v>
      </c>
      <c r="Q20" s="8" t="s">
        <v>686</v>
      </c>
      <c r="U20" s="31">
        <v>6.2</v>
      </c>
      <c r="V20" s="15" t="s">
        <v>456</v>
      </c>
      <c r="W20" s="15" t="str">
        <f t="shared" si="2"/>
        <v>j1      Shapes and Geometry – 3D Shapes</v>
      </c>
      <c r="X20" s="24" t="s">
        <v>615</v>
      </c>
      <c r="Y20" s="15" t="s">
        <v>269</v>
      </c>
      <c r="Z20" s="15" t="s">
        <v>239</v>
      </c>
      <c r="AA20" s="16" t="s">
        <v>457</v>
      </c>
      <c r="AE20" s="28">
        <v>4.0999999999999996</v>
      </c>
      <c r="AF20" s="19" t="s">
        <v>529</v>
      </c>
      <c r="AG20" s="19" t="str">
        <f t="shared" si="0"/>
        <v>j1      Numbers and Algebra — Real Numbers</v>
      </c>
      <c r="AH20" s="19" t="s">
        <v>604</v>
      </c>
      <c r="AI20" s="19" t="s">
        <v>269</v>
      </c>
      <c r="AJ20" s="19" t="s">
        <v>239</v>
      </c>
      <c r="AK20" s="25" t="s">
        <v>643</v>
      </c>
    </row>
    <row r="21" spans="1:37" ht="13" customHeight="1">
      <c r="A21" s="36">
        <v>4.2</v>
      </c>
      <c r="B21" s="13" t="s">
        <v>288</v>
      </c>
      <c r="C21" s="13" t="str">
        <f t="shared" si="3"/>
        <v>j1     Numbers and Algebra – Fractions</v>
      </c>
      <c r="D21" s="13" t="s">
        <v>590</v>
      </c>
      <c r="E21" s="13" t="s">
        <v>269</v>
      </c>
      <c r="F21" s="13" t="s">
        <v>240</v>
      </c>
      <c r="G21" s="13" t="s">
        <v>321</v>
      </c>
      <c r="K21" s="33">
        <v>5.4</v>
      </c>
      <c r="L21" s="8" t="s">
        <v>379</v>
      </c>
      <c r="M21" s="8" t="str">
        <f t="shared" si="1"/>
        <v>j1    Shapes and Geometry – Quadrilaterals and Polygons</v>
      </c>
      <c r="N21" s="8" t="s">
        <v>610</v>
      </c>
      <c r="O21" s="8" t="s">
        <v>269</v>
      </c>
      <c r="P21" s="8" t="s">
        <v>239</v>
      </c>
      <c r="Q21" s="8" t="s">
        <v>380</v>
      </c>
      <c r="U21" s="31">
        <v>6.3</v>
      </c>
      <c r="V21" s="15" t="s">
        <v>458</v>
      </c>
      <c r="W21" s="15" t="str">
        <f t="shared" si="2"/>
        <v>j1      Shapes and Geometry – 3D Shapes</v>
      </c>
      <c r="X21" s="24" t="s">
        <v>615</v>
      </c>
      <c r="Y21" s="15" t="s">
        <v>239</v>
      </c>
      <c r="Z21" s="15" t="s">
        <v>239</v>
      </c>
      <c r="AA21" s="15" t="s">
        <v>459</v>
      </c>
      <c r="AE21" s="28">
        <v>4.2</v>
      </c>
      <c r="AF21" s="19" t="s">
        <v>530</v>
      </c>
      <c r="AG21" s="19" t="str">
        <f t="shared" si="0"/>
        <v>j1      Numbers and Algebra – Exponents and Logarithms</v>
      </c>
      <c r="AH21" s="19" t="s">
        <v>608</v>
      </c>
      <c r="AI21" s="19" t="s">
        <v>269</v>
      </c>
      <c r="AJ21" s="19" t="s">
        <v>239</v>
      </c>
      <c r="AK21" s="20" t="s">
        <v>646</v>
      </c>
    </row>
    <row r="22" spans="1:37" ht="13" customHeight="1">
      <c r="A22" s="36">
        <v>4.3</v>
      </c>
      <c r="B22" s="13" t="s">
        <v>289</v>
      </c>
      <c r="C22" s="13" t="str">
        <f t="shared" si="3"/>
        <v>j1     Numbers and Algebra – Fractions</v>
      </c>
      <c r="D22" s="13" t="s">
        <v>590</v>
      </c>
      <c r="E22" s="13" t="s">
        <v>239</v>
      </c>
      <c r="F22" s="13" t="s">
        <v>271</v>
      </c>
      <c r="G22" s="13" t="s">
        <v>322</v>
      </c>
      <c r="K22" s="33">
        <v>5.5</v>
      </c>
      <c r="L22" s="8" t="s">
        <v>381</v>
      </c>
      <c r="M22" s="8" t="str">
        <f t="shared" si="1"/>
        <v>j1    Shapes and Geometry – Quadrilaterals and Polygons</v>
      </c>
      <c r="N22" s="8" t="s">
        <v>610</v>
      </c>
      <c r="O22" s="8" t="s">
        <v>269</v>
      </c>
      <c r="P22" s="8" t="s">
        <v>240</v>
      </c>
      <c r="Q22" s="8" t="s">
        <v>382</v>
      </c>
      <c r="U22" s="31">
        <v>6.4</v>
      </c>
      <c r="V22" s="15" t="s">
        <v>460</v>
      </c>
      <c r="W22" s="15" t="str">
        <f t="shared" si="2"/>
        <v>j1      Shapes and Geometry – 3D Shapes</v>
      </c>
      <c r="X22" s="24" t="s">
        <v>615</v>
      </c>
      <c r="Y22" s="15" t="s">
        <v>269</v>
      </c>
      <c r="Z22" s="15" t="s">
        <v>239</v>
      </c>
      <c r="AA22" s="16" t="s">
        <v>633</v>
      </c>
      <c r="AE22" s="28">
        <v>4.3</v>
      </c>
      <c r="AF22" s="19" t="s">
        <v>531</v>
      </c>
      <c r="AG22" s="19" t="str">
        <f t="shared" si="0"/>
        <v>j1      Numbers and Algebra — Real Numbers</v>
      </c>
      <c r="AH22" s="19" t="s">
        <v>604</v>
      </c>
      <c r="AI22" s="19" t="s">
        <v>269</v>
      </c>
      <c r="AJ22" s="19" t="s">
        <v>269</v>
      </c>
      <c r="AK22" s="20" t="s">
        <v>644</v>
      </c>
    </row>
    <row r="23" spans="1:37" ht="13" customHeight="1">
      <c r="A23" s="36">
        <v>4.4000000000000004</v>
      </c>
      <c r="B23" s="13" t="s">
        <v>290</v>
      </c>
      <c r="C23" s="13" t="str">
        <f t="shared" si="3"/>
        <v>j1     Numbers and Algebra – Fractions</v>
      </c>
      <c r="D23" s="13" t="s">
        <v>590</v>
      </c>
      <c r="E23" s="13" t="s">
        <v>270</v>
      </c>
      <c r="F23" s="13" t="s">
        <v>239</v>
      </c>
      <c r="G23" s="26" t="s">
        <v>665</v>
      </c>
      <c r="K23" s="33">
        <v>5.6</v>
      </c>
      <c r="L23" s="8" t="s">
        <v>383</v>
      </c>
      <c r="M23" s="8" t="str">
        <f t="shared" si="1"/>
        <v>j1    Shapes and Geometry – Quadrilaterals and Polygons</v>
      </c>
      <c r="N23" s="8" t="s">
        <v>610</v>
      </c>
      <c r="O23" s="8" t="s">
        <v>239</v>
      </c>
      <c r="P23" s="8" t="s">
        <v>239</v>
      </c>
      <c r="Q23" s="8" t="s">
        <v>384</v>
      </c>
      <c r="U23" s="31">
        <v>6.5</v>
      </c>
      <c r="V23" s="15" t="s">
        <v>461</v>
      </c>
      <c r="W23" s="15" t="str">
        <f t="shared" si="2"/>
        <v>j1      Shapes and Geometry – 3D Shapes</v>
      </c>
      <c r="X23" s="24" t="s">
        <v>615</v>
      </c>
      <c r="Y23" s="15" t="s">
        <v>269</v>
      </c>
      <c r="Z23" s="15" t="s">
        <v>239</v>
      </c>
      <c r="AA23" s="16" t="s">
        <v>632</v>
      </c>
      <c r="AE23" s="28">
        <v>4.4000000000000004</v>
      </c>
      <c r="AF23" s="19" t="s">
        <v>532</v>
      </c>
      <c r="AG23" s="19" t="str">
        <f t="shared" si="0"/>
        <v>j1      Numbers and Algebra — Real Numbers</v>
      </c>
      <c r="AH23" s="19" t="s">
        <v>604</v>
      </c>
      <c r="AI23" s="19" t="s">
        <v>269</v>
      </c>
      <c r="AJ23" s="19" t="s">
        <v>269</v>
      </c>
      <c r="AK23" s="19" t="s">
        <v>366</v>
      </c>
    </row>
    <row r="24" spans="1:37" ht="13" customHeight="1">
      <c r="A24" s="36">
        <v>4.5</v>
      </c>
      <c r="B24" s="13" t="s">
        <v>291</v>
      </c>
      <c r="C24" s="13" t="str">
        <f t="shared" si="3"/>
        <v>j1     Numbers and Algebra – Fractions</v>
      </c>
      <c r="D24" s="13" t="s">
        <v>590</v>
      </c>
      <c r="E24" s="13" t="s">
        <v>270</v>
      </c>
      <c r="F24" s="13" t="s">
        <v>239</v>
      </c>
      <c r="G24" s="14" t="s">
        <v>698</v>
      </c>
      <c r="K24" s="33">
        <v>5.7</v>
      </c>
      <c r="L24" s="8" t="s">
        <v>385</v>
      </c>
      <c r="M24" s="8" t="str">
        <f t="shared" si="1"/>
        <v>j1    Shapes and Geometry – Quadrilaterals and Polygons</v>
      </c>
      <c r="N24" s="8" t="s">
        <v>610</v>
      </c>
      <c r="O24" s="8" t="s">
        <v>269</v>
      </c>
      <c r="P24" s="8" t="s">
        <v>239</v>
      </c>
      <c r="Q24" s="8" t="s">
        <v>685</v>
      </c>
      <c r="U24" s="31">
        <v>6.6</v>
      </c>
      <c r="V24" s="15" t="s">
        <v>462</v>
      </c>
      <c r="W24" s="15" t="str">
        <f t="shared" si="2"/>
        <v>j1      Shapes and Geometry – 3D Shapes</v>
      </c>
      <c r="X24" s="24" t="s">
        <v>615</v>
      </c>
      <c r="Y24" s="15" t="s">
        <v>269</v>
      </c>
      <c r="Z24" s="15" t="s">
        <v>269</v>
      </c>
      <c r="AA24" s="16" t="s">
        <v>631</v>
      </c>
      <c r="AE24" s="28">
        <v>5.0999999999999996</v>
      </c>
      <c r="AF24" s="19" t="s">
        <v>533</v>
      </c>
      <c r="AG24" s="19" t="str">
        <f t="shared" si="0"/>
        <v>j1      Numbers and Algebra—Functions</v>
      </c>
      <c r="AH24" s="19" t="s">
        <v>598</v>
      </c>
      <c r="AI24" s="19" t="s">
        <v>270</v>
      </c>
      <c r="AJ24" s="19" t="s">
        <v>239</v>
      </c>
      <c r="AK24" s="20" t="s">
        <v>693</v>
      </c>
    </row>
    <row r="25" spans="1:37" ht="13" customHeight="1">
      <c r="A25" s="36">
        <v>4.5999999999999996</v>
      </c>
      <c r="B25" s="13" t="s">
        <v>292</v>
      </c>
      <c r="C25" s="13" t="str">
        <f t="shared" si="3"/>
        <v>j1     Numbers and Algebra – Fractions</v>
      </c>
      <c r="D25" s="13" t="s">
        <v>590</v>
      </c>
      <c r="E25" s="13" t="s">
        <v>270</v>
      </c>
      <c r="F25" s="13" t="s">
        <v>239</v>
      </c>
      <c r="G25" s="13" t="s">
        <v>323</v>
      </c>
      <c r="K25" s="33">
        <v>5.8</v>
      </c>
      <c r="L25" s="8" t="s">
        <v>386</v>
      </c>
      <c r="M25" s="8" t="str">
        <f t="shared" si="1"/>
        <v>j1    Shapes and Geometry – Quadrilaterals and Polygons</v>
      </c>
      <c r="N25" s="8" t="s">
        <v>610</v>
      </c>
      <c r="O25" s="8" t="s">
        <v>239</v>
      </c>
      <c r="P25" s="8" t="s">
        <v>239</v>
      </c>
      <c r="Q25" s="8" t="s">
        <v>387</v>
      </c>
      <c r="U25" s="31">
        <v>6.7</v>
      </c>
      <c r="V25" s="15" t="s">
        <v>463</v>
      </c>
      <c r="W25" s="15" t="str">
        <f t="shared" si="2"/>
        <v>j1      Shapes and Geometry – 3D Shapes</v>
      </c>
      <c r="X25" s="24" t="s">
        <v>615</v>
      </c>
      <c r="Y25" s="15" t="s">
        <v>269</v>
      </c>
      <c r="Z25" s="15" t="s">
        <v>269</v>
      </c>
      <c r="AA25" s="16" t="s">
        <v>630</v>
      </c>
      <c r="AE25" s="28">
        <v>5.2</v>
      </c>
      <c r="AF25" s="19" t="s">
        <v>534</v>
      </c>
      <c r="AG25" s="19" t="str">
        <f t="shared" si="0"/>
        <v>j1      Numbers and Algebra—Functions</v>
      </c>
      <c r="AH25" s="19" t="s">
        <v>598</v>
      </c>
      <c r="AI25" s="19" t="s">
        <v>270</v>
      </c>
      <c r="AJ25" s="19" t="s">
        <v>269</v>
      </c>
      <c r="AK25" s="19" t="s">
        <v>535</v>
      </c>
    </row>
    <row r="26" spans="1:37" ht="13" customHeight="1">
      <c r="A26" s="36">
        <v>4.7</v>
      </c>
      <c r="B26" s="13" t="s">
        <v>293</v>
      </c>
      <c r="C26" s="13" t="str">
        <f t="shared" si="3"/>
        <v>j1     Numbers and Algebra – Fractions</v>
      </c>
      <c r="D26" s="13" t="s">
        <v>590</v>
      </c>
      <c r="E26" s="13" t="s">
        <v>239</v>
      </c>
      <c r="F26" s="13" t="s">
        <v>239</v>
      </c>
      <c r="G26" s="13" t="s">
        <v>324</v>
      </c>
      <c r="K26" s="33">
        <v>5.9</v>
      </c>
      <c r="L26" s="8" t="s">
        <v>388</v>
      </c>
      <c r="M26" s="8" t="str">
        <f t="shared" si="1"/>
        <v>j1    Shapes and Geometry – Quadrilaterals and Polygons</v>
      </c>
      <c r="N26" s="8" t="s">
        <v>610</v>
      </c>
      <c r="O26" s="8" t="s">
        <v>269</v>
      </c>
      <c r="P26" s="8" t="s">
        <v>239</v>
      </c>
      <c r="Q26" s="8" t="s">
        <v>684</v>
      </c>
      <c r="U26" s="31">
        <v>6.8</v>
      </c>
      <c r="V26" s="15" t="s">
        <v>464</v>
      </c>
      <c r="W26" s="15" t="str">
        <f t="shared" si="2"/>
        <v>j1      Shapes and Geometry – 3D Shapes</v>
      </c>
      <c r="X26" s="24" t="s">
        <v>615</v>
      </c>
      <c r="Y26" s="15" t="s">
        <v>269</v>
      </c>
      <c r="Z26" s="15" t="s">
        <v>269</v>
      </c>
      <c r="AA26" s="16" t="s">
        <v>629</v>
      </c>
      <c r="AE26" s="28">
        <v>5.3</v>
      </c>
      <c r="AF26" s="19" t="s">
        <v>536</v>
      </c>
      <c r="AG26" s="19" t="str">
        <f t="shared" si="0"/>
        <v>j1      Numbers and Algebra—Functions</v>
      </c>
      <c r="AH26" s="19" t="s">
        <v>598</v>
      </c>
      <c r="AI26" s="19" t="s">
        <v>270</v>
      </c>
      <c r="AJ26" s="19" t="s">
        <v>239</v>
      </c>
      <c r="AK26" s="19" t="s">
        <v>537</v>
      </c>
    </row>
    <row r="27" spans="1:37" ht="13" customHeight="1">
      <c r="A27" s="36">
        <v>4.8</v>
      </c>
      <c r="B27" s="13" t="s">
        <v>245</v>
      </c>
      <c r="C27" s="13" t="str">
        <f t="shared" si="3"/>
        <v>j1     Numbers and Algebra – Fractions</v>
      </c>
      <c r="D27" s="13" t="s">
        <v>590</v>
      </c>
      <c r="E27" s="13" t="s">
        <v>269</v>
      </c>
      <c r="F27" s="13" t="s">
        <v>239</v>
      </c>
      <c r="G27" s="13" t="s">
        <v>325</v>
      </c>
      <c r="K27" s="33">
        <v>6.1</v>
      </c>
      <c r="L27" s="8" t="s">
        <v>389</v>
      </c>
      <c r="M27" s="8" t="str">
        <f t="shared" si="1"/>
        <v>j1    Shapes and Geometry – Perimeter and Area</v>
      </c>
      <c r="N27" s="8" t="s">
        <v>611</v>
      </c>
      <c r="O27" s="8" t="s">
        <v>269</v>
      </c>
      <c r="P27" s="8" t="s">
        <v>240</v>
      </c>
      <c r="Q27" s="8" t="s">
        <v>390</v>
      </c>
      <c r="U27" s="31">
        <v>7.1</v>
      </c>
      <c r="V27" s="15" t="s">
        <v>465</v>
      </c>
      <c r="W27" s="15" t="str">
        <f t="shared" si="2"/>
        <v>j1      Shapes and Geometry – Trigonometry</v>
      </c>
      <c r="X27" s="15" t="s">
        <v>605</v>
      </c>
      <c r="Y27" s="15" t="s">
        <v>270</v>
      </c>
      <c r="Z27" s="15" t="s">
        <v>239</v>
      </c>
      <c r="AA27" s="16" t="s">
        <v>620</v>
      </c>
      <c r="AE27" s="28">
        <v>5.4</v>
      </c>
      <c r="AF27" s="19" t="s">
        <v>538</v>
      </c>
      <c r="AG27" s="19" t="str">
        <f t="shared" si="0"/>
        <v>j1      Numbers and Algebra—Functions</v>
      </c>
      <c r="AH27" s="19" t="s">
        <v>598</v>
      </c>
      <c r="AI27" s="19" t="s">
        <v>269</v>
      </c>
      <c r="AJ27" s="19" t="s">
        <v>269</v>
      </c>
      <c r="AK27" s="20" t="s">
        <v>647</v>
      </c>
    </row>
    <row r="28" spans="1:37" ht="13" customHeight="1">
      <c r="A28" s="36">
        <v>5.0999999999999996</v>
      </c>
      <c r="B28" s="13" t="s">
        <v>294</v>
      </c>
      <c r="C28" s="13" t="str">
        <f t="shared" si="3"/>
        <v>j1     Numbers and Algebra – Decimals</v>
      </c>
      <c r="D28" s="13" t="s">
        <v>591</v>
      </c>
      <c r="E28" s="13" t="s">
        <v>239</v>
      </c>
      <c r="F28" s="13" t="s">
        <v>271</v>
      </c>
      <c r="G28" s="13" t="s">
        <v>326</v>
      </c>
      <c r="K28" s="33">
        <v>6.2</v>
      </c>
      <c r="L28" s="8" t="s">
        <v>391</v>
      </c>
      <c r="M28" s="8" t="str">
        <f t="shared" si="1"/>
        <v>j1    Shapes and Geometry – Perimeter and Area</v>
      </c>
      <c r="N28" s="8" t="s">
        <v>611</v>
      </c>
      <c r="O28" s="8" t="s">
        <v>270</v>
      </c>
      <c r="P28" s="8" t="s">
        <v>240</v>
      </c>
      <c r="Q28" s="8" t="s">
        <v>626</v>
      </c>
      <c r="U28" s="31">
        <v>7.2</v>
      </c>
      <c r="V28" s="15" t="s">
        <v>466</v>
      </c>
      <c r="W28" s="15" t="str">
        <f t="shared" si="2"/>
        <v>j1      Shapes and Geometry – Trigonometry</v>
      </c>
      <c r="X28" s="15" t="s">
        <v>605</v>
      </c>
      <c r="Y28" s="15" t="s">
        <v>270</v>
      </c>
      <c r="Z28" s="15" t="s">
        <v>239</v>
      </c>
      <c r="AA28" s="16" t="s">
        <v>628</v>
      </c>
      <c r="AE28" s="28">
        <v>5.5</v>
      </c>
      <c r="AF28" s="19" t="s">
        <v>539</v>
      </c>
      <c r="AG28" s="19" t="str">
        <f t="shared" si="0"/>
        <v>j1      Numbers and Algebra—Functions</v>
      </c>
      <c r="AH28" s="19" t="s">
        <v>598</v>
      </c>
      <c r="AI28" s="19" t="s">
        <v>239</v>
      </c>
      <c r="AJ28" s="19" t="s">
        <v>269</v>
      </c>
      <c r="AK28" s="19" t="s">
        <v>540</v>
      </c>
    </row>
    <row r="29" spans="1:37" ht="13" customHeight="1">
      <c r="A29" s="36">
        <v>5.2</v>
      </c>
      <c r="B29" s="13" t="s">
        <v>295</v>
      </c>
      <c r="C29" s="13" t="str">
        <f t="shared" si="3"/>
        <v>j1     Numbers and Algebra – Decimals</v>
      </c>
      <c r="D29" s="13" t="s">
        <v>591</v>
      </c>
      <c r="E29" s="13" t="s">
        <v>269</v>
      </c>
      <c r="F29" s="13" t="s">
        <v>240</v>
      </c>
      <c r="G29" s="13" t="s">
        <v>327</v>
      </c>
      <c r="K29" s="33">
        <v>6.3</v>
      </c>
      <c r="L29" s="8" t="s">
        <v>392</v>
      </c>
      <c r="M29" s="8" t="str">
        <f t="shared" si="1"/>
        <v>j1    Shapes and Geometry – Perimeter and Area</v>
      </c>
      <c r="N29" s="8" t="s">
        <v>611</v>
      </c>
      <c r="O29" s="8" t="s">
        <v>239</v>
      </c>
      <c r="P29" s="8" t="s">
        <v>240</v>
      </c>
      <c r="Q29" s="9" t="s">
        <v>704</v>
      </c>
      <c r="U29" s="31">
        <v>7.3</v>
      </c>
      <c r="V29" s="15" t="s">
        <v>467</v>
      </c>
      <c r="W29" s="15" t="str">
        <f t="shared" si="2"/>
        <v>j1      Shapes and Geometry – Trigonometry</v>
      </c>
      <c r="X29" s="15" t="s">
        <v>605</v>
      </c>
      <c r="Y29" s="15" t="s">
        <v>269</v>
      </c>
      <c r="Z29" s="15" t="s">
        <v>269</v>
      </c>
      <c r="AA29" s="24" t="s">
        <v>690</v>
      </c>
      <c r="AE29" s="28">
        <v>5.6</v>
      </c>
      <c r="AF29" s="19" t="s">
        <v>541</v>
      </c>
      <c r="AG29" s="19" t="str">
        <f t="shared" si="0"/>
        <v>j1      Numbers and Algebra—Functions</v>
      </c>
      <c r="AH29" s="19" t="s">
        <v>598</v>
      </c>
      <c r="AI29" s="19" t="s">
        <v>269</v>
      </c>
      <c r="AJ29" s="19" t="s">
        <v>269</v>
      </c>
      <c r="AK29" s="20" t="s">
        <v>648</v>
      </c>
    </row>
    <row r="30" spans="1:37" ht="13" customHeight="1">
      <c r="A30" s="36">
        <v>5.3</v>
      </c>
      <c r="B30" s="13" t="s">
        <v>296</v>
      </c>
      <c r="C30" s="13" t="str">
        <f t="shared" si="3"/>
        <v>j1     Numbers and Algebra – Decimals</v>
      </c>
      <c r="D30" s="13" t="s">
        <v>591</v>
      </c>
      <c r="E30" s="13" t="s">
        <v>239</v>
      </c>
      <c r="F30" s="13" t="s">
        <v>239</v>
      </c>
      <c r="G30" s="14" t="s">
        <v>666</v>
      </c>
      <c r="K30" s="33">
        <v>7.1</v>
      </c>
      <c r="L30" s="8" t="s">
        <v>393</v>
      </c>
      <c r="M30" s="8" t="str">
        <f t="shared" si="1"/>
        <v>j1    Shapes and Geometry—Circles</v>
      </c>
      <c r="N30" s="8" t="s">
        <v>612</v>
      </c>
      <c r="O30" s="8" t="s">
        <v>270</v>
      </c>
      <c r="P30" s="8" t="s">
        <v>239</v>
      </c>
      <c r="Q30" s="8" t="s">
        <v>625</v>
      </c>
      <c r="U30" s="31">
        <v>7.4</v>
      </c>
      <c r="V30" s="15" t="s">
        <v>468</v>
      </c>
      <c r="W30" s="15" t="str">
        <f t="shared" si="2"/>
        <v>j1      Shapes and Geometry – Trigonometry</v>
      </c>
      <c r="X30" s="15" t="s">
        <v>605</v>
      </c>
      <c r="Y30" s="15" t="s">
        <v>270</v>
      </c>
      <c r="Z30" s="15" t="s">
        <v>269</v>
      </c>
      <c r="AA30" s="15" t="s">
        <v>469</v>
      </c>
      <c r="AE30" s="28">
        <v>6.1</v>
      </c>
      <c r="AF30" s="19" t="s">
        <v>542</v>
      </c>
      <c r="AG30" s="19" t="str">
        <f t="shared" si="0"/>
        <v>j1      Numbers and Algebra — Equations and Inequalities</v>
      </c>
      <c r="AH30" s="19" t="s">
        <v>596</v>
      </c>
      <c r="AI30" s="19" t="s">
        <v>270</v>
      </c>
      <c r="AJ30" s="19" t="s">
        <v>239</v>
      </c>
      <c r="AK30" s="19" t="s">
        <v>543</v>
      </c>
    </row>
    <row r="31" spans="1:37" ht="13" customHeight="1">
      <c r="A31" s="36">
        <v>5.4</v>
      </c>
      <c r="B31" s="13" t="s">
        <v>297</v>
      </c>
      <c r="C31" s="13" t="str">
        <f t="shared" si="3"/>
        <v>j1     Numbers and Algebra – Decimals</v>
      </c>
      <c r="D31" s="13" t="s">
        <v>591</v>
      </c>
      <c r="E31" s="13" t="s">
        <v>269</v>
      </c>
      <c r="F31" s="13" t="s">
        <v>240</v>
      </c>
      <c r="G31" s="13" t="s">
        <v>328</v>
      </c>
      <c r="K31" s="33">
        <v>8.1</v>
      </c>
      <c r="L31" s="8" t="s">
        <v>394</v>
      </c>
      <c r="M31" s="8" t="str">
        <f t="shared" si="1"/>
        <v>j1    Shapes and Geometry—Triangles</v>
      </c>
      <c r="N31" s="8" t="s">
        <v>609</v>
      </c>
      <c r="O31" s="8" t="s">
        <v>270</v>
      </c>
      <c r="P31" s="8" t="s">
        <v>239</v>
      </c>
      <c r="Q31" s="9" t="s">
        <v>683</v>
      </c>
      <c r="U31" s="31">
        <v>8.1</v>
      </c>
      <c r="V31" s="15" t="s">
        <v>470</v>
      </c>
      <c r="W31" s="15" t="str">
        <f t="shared" si="2"/>
        <v>j1      Shapes and Geometry—Circles</v>
      </c>
      <c r="X31" s="15" t="s">
        <v>612</v>
      </c>
      <c r="Y31" s="15" t="s">
        <v>269</v>
      </c>
      <c r="Z31" s="15" t="s">
        <v>239</v>
      </c>
      <c r="AA31" s="15" t="s">
        <v>471</v>
      </c>
      <c r="AE31" s="28">
        <v>6.2</v>
      </c>
      <c r="AF31" s="19" t="s">
        <v>544</v>
      </c>
      <c r="AG31" s="19" t="str">
        <f t="shared" si="0"/>
        <v>j1      Numbers and Algebra — Equations and Inequalities</v>
      </c>
      <c r="AH31" s="19" t="s">
        <v>596</v>
      </c>
      <c r="AI31" s="19" t="s">
        <v>270</v>
      </c>
      <c r="AJ31" s="19" t="s">
        <v>269</v>
      </c>
      <c r="AK31" s="19" t="s">
        <v>545</v>
      </c>
    </row>
    <row r="32" spans="1:37" ht="13" customHeight="1">
      <c r="A32" s="36">
        <v>5.5</v>
      </c>
      <c r="B32" s="13" t="s">
        <v>298</v>
      </c>
      <c r="C32" s="13" t="str">
        <f t="shared" si="3"/>
        <v>j1     Numbers and Algebra – Decimals</v>
      </c>
      <c r="D32" s="13" t="s">
        <v>591</v>
      </c>
      <c r="E32" s="13" t="s">
        <v>269</v>
      </c>
      <c r="F32" s="13" t="s">
        <v>239</v>
      </c>
      <c r="G32" s="13" t="s">
        <v>329</v>
      </c>
      <c r="K32" s="33">
        <v>8.1999999999999993</v>
      </c>
      <c r="L32" s="8" t="s">
        <v>395</v>
      </c>
      <c r="M32" s="8" t="str">
        <f t="shared" si="1"/>
        <v>j1    Shapes and Geometry—Triangles</v>
      </c>
      <c r="N32" s="8" t="s">
        <v>609</v>
      </c>
      <c r="O32" s="8" t="s">
        <v>270</v>
      </c>
      <c r="P32" s="8" t="s">
        <v>239</v>
      </c>
      <c r="Q32" s="8" t="s">
        <v>682</v>
      </c>
      <c r="U32" s="31">
        <v>8.1999999999999993</v>
      </c>
      <c r="V32" s="15" t="s">
        <v>472</v>
      </c>
      <c r="W32" s="15" t="str">
        <f t="shared" si="2"/>
        <v>j1      Shapes and Geometry—Circles</v>
      </c>
      <c r="X32" s="15" t="s">
        <v>612</v>
      </c>
      <c r="Y32" s="15" t="s">
        <v>270</v>
      </c>
      <c r="Z32" s="15" t="s">
        <v>269</v>
      </c>
      <c r="AA32" s="15" t="s">
        <v>473</v>
      </c>
      <c r="AE32" s="28">
        <v>6.3</v>
      </c>
      <c r="AF32" s="19" t="s">
        <v>546</v>
      </c>
      <c r="AG32" s="19" t="str">
        <f t="shared" si="0"/>
        <v>j1      Numbers and Algebra — Equations and Inequalities</v>
      </c>
      <c r="AH32" s="19" t="s">
        <v>596</v>
      </c>
      <c r="AI32" s="19" t="s">
        <v>269</v>
      </c>
      <c r="AJ32" s="19" t="s">
        <v>269</v>
      </c>
      <c r="AK32" s="19" t="s">
        <v>547</v>
      </c>
    </row>
    <row r="33" spans="1:37" ht="13" customHeight="1">
      <c r="A33" s="36">
        <v>6.1</v>
      </c>
      <c r="B33" s="13" t="s">
        <v>299</v>
      </c>
      <c r="C33" s="13" t="str">
        <f t="shared" si="3"/>
        <v>j1     Shapes and Geometry – Units of Measurement</v>
      </c>
      <c r="D33" s="13" t="s">
        <v>592</v>
      </c>
      <c r="E33" s="13" t="s">
        <v>239</v>
      </c>
      <c r="F33" s="13" t="s">
        <v>271</v>
      </c>
      <c r="G33" s="14" t="s">
        <v>667</v>
      </c>
      <c r="K33" s="33">
        <v>8.3000000000000007</v>
      </c>
      <c r="L33" s="8" t="s">
        <v>396</v>
      </c>
      <c r="M33" s="8" t="str">
        <f t="shared" si="1"/>
        <v>j1    Shapes and Geometry – Coordinate Geometry</v>
      </c>
      <c r="N33" s="8" t="s">
        <v>603</v>
      </c>
      <c r="O33" s="8" t="s">
        <v>270</v>
      </c>
      <c r="P33" s="8" t="s">
        <v>239</v>
      </c>
      <c r="Q33" s="9" t="s">
        <v>681</v>
      </c>
      <c r="U33" s="31">
        <v>8.3000000000000007</v>
      </c>
      <c r="V33" s="15" t="s">
        <v>474</v>
      </c>
      <c r="W33" s="15" t="str">
        <f t="shared" si="2"/>
        <v>j1      Shapes and Geometry—Circles</v>
      </c>
      <c r="X33" s="15" t="s">
        <v>612</v>
      </c>
      <c r="Y33" s="15" t="s">
        <v>270</v>
      </c>
      <c r="Z33" s="15" t="s">
        <v>269</v>
      </c>
      <c r="AA33" s="15" t="s">
        <v>475</v>
      </c>
      <c r="AE33" s="28">
        <v>6.4</v>
      </c>
      <c r="AF33" s="19" t="s">
        <v>548</v>
      </c>
      <c r="AG33" s="19" t="str">
        <f t="shared" si="0"/>
        <v>j1      Numbers and Algebra — Equations and Inequalities</v>
      </c>
      <c r="AH33" s="19" t="s">
        <v>596</v>
      </c>
      <c r="AI33" s="19" t="s">
        <v>270</v>
      </c>
      <c r="AJ33" s="19" t="s">
        <v>269</v>
      </c>
      <c r="AK33" s="19"/>
    </row>
    <row r="34" spans="1:37" ht="13" customHeight="1">
      <c r="A34" s="36">
        <v>6.2</v>
      </c>
      <c r="B34" s="13" t="s">
        <v>300</v>
      </c>
      <c r="C34" s="13" t="str">
        <f t="shared" si="3"/>
        <v>j1     Shapes and Geometry – Units of Measurement</v>
      </c>
      <c r="D34" s="13" t="s">
        <v>592</v>
      </c>
      <c r="E34" s="13" t="s">
        <v>239</v>
      </c>
      <c r="F34" s="13" t="s">
        <v>271</v>
      </c>
      <c r="G34" s="14" t="s">
        <v>668</v>
      </c>
      <c r="K34" s="33">
        <v>9.1</v>
      </c>
      <c r="L34" s="8" t="s">
        <v>397</v>
      </c>
      <c r="M34" s="8" t="str">
        <f t="shared" si="1"/>
        <v>j1    Numbers and Algebra – Sets and Logic</v>
      </c>
      <c r="N34" s="8" t="s">
        <v>607</v>
      </c>
      <c r="O34" s="8" t="s">
        <v>239</v>
      </c>
      <c r="P34" s="8" t="s">
        <v>240</v>
      </c>
      <c r="Q34" s="9" t="s">
        <v>619</v>
      </c>
      <c r="U34" s="31">
        <v>8.4</v>
      </c>
      <c r="V34" s="15" t="s">
        <v>476</v>
      </c>
      <c r="W34" s="15" t="str">
        <f t="shared" si="2"/>
        <v>j1      Shapes and Geometry—Circles</v>
      </c>
      <c r="X34" s="15" t="s">
        <v>612</v>
      </c>
      <c r="Y34" s="15" t="s">
        <v>270</v>
      </c>
      <c r="Z34" s="15" t="s">
        <v>239</v>
      </c>
      <c r="AA34" s="24" t="s">
        <v>627</v>
      </c>
      <c r="AE34" s="28">
        <v>6.5</v>
      </c>
      <c r="AF34" s="19" t="s">
        <v>549</v>
      </c>
      <c r="AG34" s="19" t="str">
        <f t="shared" si="0"/>
        <v>j1      Numbers and Algebra — Equations and Inequalities</v>
      </c>
      <c r="AH34" s="19" t="s">
        <v>596</v>
      </c>
      <c r="AI34" s="19" t="s">
        <v>269</v>
      </c>
      <c r="AJ34" s="19" t="s">
        <v>269</v>
      </c>
      <c r="AK34" s="19" t="s">
        <v>550</v>
      </c>
    </row>
    <row r="35" spans="1:37" ht="13" customHeight="1">
      <c r="A35" s="36">
        <v>6.3</v>
      </c>
      <c r="B35" s="13" t="s">
        <v>301</v>
      </c>
      <c r="C35" s="13" t="str">
        <f t="shared" si="3"/>
        <v>j1     Shapes and Geometry – Units of Measurement</v>
      </c>
      <c r="D35" s="13" t="s">
        <v>592</v>
      </c>
      <c r="E35" s="13" t="s">
        <v>239</v>
      </c>
      <c r="F35" s="13" t="s">
        <v>271</v>
      </c>
      <c r="G35" s="14" t="s">
        <v>669</v>
      </c>
      <c r="K35" s="33">
        <v>9.1999999999999993</v>
      </c>
      <c r="L35" s="8" t="s">
        <v>398</v>
      </c>
      <c r="M35" s="8" t="str">
        <f t="shared" si="1"/>
        <v>j1    Numbers and Algebra – Sets and Logic</v>
      </c>
      <c r="N35" s="8" t="s">
        <v>607</v>
      </c>
      <c r="O35" s="8" t="s">
        <v>239</v>
      </c>
      <c r="P35" s="8" t="s">
        <v>240</v>
      </c>
      <c r="Q35" s="9" t="s">
        <v>399</v>
      </c>
      <c r="U35" s="31">
        <v>8.5</v>
      </c>
      <c r="V35" s="15" t="s">
        <v>477</v>
      </c>
      <c r="W35" s="15" t="str">
        <f t="shared" si="2"/>
        <v>j1      Shapes and Geometry—Circles</v>
      </c>
      <c r="X35" s="15" t="s">
        <v>612</v>
      </c>
      <c r="Y35" s="15" t="s">
        <v>269</v>
      </c>
      <c r="Z35" s="15" t="s">
        <v>239</v>
      </c>
      <c r="AA35" s="15" t="s">
        <v>478</v>
      </c>
      <c r="AE35" s="28">
        <v>6.6</v>
      </c>
      <c r="AF35" s="19" t="s">
        <v>551</v>
      </c>
      <c r="AG35" s="19" t="str">
        <f t="shared" si="0"/>
        <v>j1      Numbers and Algebra — Equations and Inequalities</v>
      </c>
      <c r="AH35" s="19" t="s">
        <v>596</v>
      </c>
      <c r="AI35" s="19" t="s">
        <v>269</v>
      </c>
      <c r="AJ35" s="19" t="s">
        <v>269</v>
      </c>
      <c r="AK35" s="19" t="s">
        <v>552</v>
      </c>
    </row>
    <row r="36" spans="1:37" ht="13" customHeight="1">
      <c r="A36" s="36">
        <v>6.4</v>
      </c>
      <c r="B36" s="13" t="s">
        <v>302</v>
      </c>
      <c r="C36" s="13" t="str">
        <f t="shared" si="3"/>
        <v>j1     Shapes and Geometry – Units of Measurement</v>
      </c>
      <c r="D36" s="13" t="s">
        <v>592</v>
      </c>
      <c r="E36" s="13" t="s">
        <v>239</v>
      </c>
      <c r="F36" s="13" t="s">
        <v>271</v>
      </c>
      <c r="G36" s="14" t="s">
        <v>670</v>
      </c>
      <c r="K36" s="33">
        <v>9.3000000000000007</v>
      </c>
      <c r="L36" s="8" t="s">
        <v>400</v>
      </c>
      <c r="M36" s="8" t="str">
        <f t="shared" si="1"/>
        <v>j1    Numbers and Algebra – Sets and Logic</v>
      </c>
      <c r="N36" s="8" t="s">
        <v>607</v>
      </c>
      <c r="O36" s="8" t="s">
        <v>269</v>
      </c>
      <c r="P36" s="8" t="s">
        <v>239</v>
      </c>
      <c r="Q36" s="9" t="s">
        <v>401</v>
      </c>
      <c r="U36" s="31">
        <v>8.6</v>
      </c>
      <c r="V36" s="15" t="s">
        <v>479</v>
      </c>
      <c r="W36" s="15" t="str">
        <f t="shared" si="2"/>
        <v>j1      Shapes and Geometry—Circles</v>
      </c>
      <c r="X36" s="15" t="s">
        <v>612</v>
      </c>
      <c r="Y36" s="15" t="s">
        <v>269</v>
      </c>
      <c r="Z36" s="15" t="s">
        <v>269</v>
      </c>
      <c r="AA36" s="15" t="s">
        <v>480</v>
      </c>
      <c r="AE36" s="28">
        <v>7.1</v>
      </c>
      <c r="AF36" s="19" t="s">
        <v>553</v>
      </c>
      <c r="AG36" s="19" t="str">
        <f t="shared" si="0"/>
        <v>j1      Numbers and Algebra – Sets and Logic</v>
      </c>
      <c r="AH36" s="19" t="s">
        <v>607</v>
      </c>
      <c r="AI36" s="19" t="s">
        <v>239</v>
      </c>
      <c r="AJ36" s="19" t="s">
        <v>240</v>
      </c>
      <c r="AK36" s="19" t="s">
        <v>554</v>
      </c>
    </row>
    <row r="37" spans="1:37" ht="13" customHeight="1">
      <c r="A37" s="36">
        <v>7.1</v>
      </c>
      <c r="B37" s="13" t="s">
        <v>303</v>
      </c>
      <c r="C37" s="13" t="str">
        <f t="shared" si="3"/>
        <v>j1     Numbers and Algebra — Percentages</v>
      </c>
      <c r="D37" s="13" t="s">
        <v>593</v>
      </c>
      <c r="E37" s="13" t="s">
        <v>270</v>
      </c>
      <c r="F37" s="13" t="s">
        <v>240</v>
      </c>
      <c r="G37" s="14" t="s">
        <v>671</v>
      </c>
      <c r="K37" s="33">
        <v>9.4</v>
      </c>
      <c r="L37" s="8" t="s">
        <v>402</v>
      </c>
      <c r="M37" s="8" t="str">
        <f t="shared" si="1"/>
        <v>j1    Numbers and Algebra – Sets and Logic</v>
      </c>
      <c r="N37" s="8" t="s">
        <v>607</v>
      </c>
      <c r="O37" s="8" t="s">
        <v>239</v>
      </c>
      <c r="P37" s="8" t="s">
        <v>239</v>
      </c>
      <c r="Q37" s="9"/>
      <c r="U37" s="31">
        <v>9.1</v>
      </c>
      <c r="V37" s="15" t="s">
        <v>481</v>
      </c>
      <c r="W37" s="15" t="str">
        <f t="shared" si="2"/>
        <v>j1      Shapes and Geometry—Geometric Construction</v>
      </c>
      <c r="X37" s="24" t="s">
        <v>616</v>
      </c>
      <c r="Y37" s="15" t="s">
        <v>239</v>
      </c>
      <c r="Z37" s="15" t="s">
        <v>269</v>
      </c>
      <c r="AA37" s="15" t="s">
        <v>482</v>
      </c>
      <c r="AE37" s="28">
        <v>7.2</v>
      </c>
      <c r="AF37" s="19" t="s">
        <v>555</v>
      </c>
      <c r="AG37" s="19" t="str">
        <f t="shared" si="0"/>
        <v>j1      Numbers and Algebra – Sets and Logic</v>
      </c>
      <c r="AH37" s="19" t="s">
        <v>607</v>
      </c>
      <c r="AI37" s="19" t="s">
        <v>269</v>
      </c>
      <c r="AJ37" s="19" t="s">
        <v>239</v>
      </c>
      <c r="AK37" s="20"/>
    </row>
    <row r="38" spans="1:37" ht="13" customHeight="1">
      <c r="A38" s="36">
        <v>7.2</v>
      </c>
      <c r="B38" s="13" t="s">
        <v>245</v>
      </c>
      <c r="C38" s="13" t="str">
        <f t="shared" si="3"/>
        <v>j1     Numbers and Algebra — Percentages</v>
      </c>
      <c r="D38" s="13" t="s">
        <v>593</v>
      </c>
      <c r="E38" s="13" t="s">
        <v>270</v>
      </c>
      <c r="F38" s="13" t="s">
        <v>239</v>
      </c>
      <c r="G38" s="13" t="s">
        <v>330</v>
      </c>
      <c r="K38" s="33">
        <v>10.1</v>
      </c>
      <c r="L38" s="8" t="s">
        <v>403</v>
      </c>
      <c r="M38" s="8" t="str">
        <f t="shared" si="1"/>
        <v>j1    Numbers and Algebra – Sets and Logic</v>
      </c>
      <c r="N38" s="8" t="s">
        <v>607</v>
      </c>
      <c r="O38" s="8" t="s">
        <v>269</v>
      </c>
      <c r="P38" s="8" t="s">
        <v>239</v>
      </c>
      <c r="Q38" s="9" t="s">
        <v>680</v>
      </c>
      <c r="U38" s="31">
        <v>9.1999999999999993</v>
      </c>
      <c r="V38" s="15" t="s">
        <v>483</v>
      </c>
      <c r="W38" s="15" t="str">
        <f t="shared" si="2"/>
        <v>j1      Shapes and Geometry—Geometric Construction</v>
      </c>
      <c r="X38" s="24" t="s">
        <v>616</v>
      </c>
      <c r="Y38" s="15" t="s">
        <v>239</v>
      </c>
      <c r="Z38" s="15" t="s">
        <v>239</v>
      </c>
      <c r="AA38" s="15" t="s">
        <v>484</v>
      </c>
      <c r="AE38" s="28">
        <v>7.3</v>
      </c>
      <c r="AF38" s="19" t="s">
        <v>556</v>
      </c>
      <c r="AG38" s="19" t="str">
        <f t="shared" si="0"/>
        <v>j1      Numbers and Algebra – Sets and Logic</v>
      </c>
      <c r="AH38" s="19" t="s">
        <v>607</v>
      </c>
      <c r="AI38" s="19" t="s">
        <v>269</v>
      </c>
      <c r="AJ38" s="19" t="s">
        <v>239</v>
      </c>
      <c r="AK38" s="20"/>
    </row>
    <row r="39" spans="1:37" ht="13" customHeight="1">
      <c r="A39" s="36">
        <v>8.1</v>
      </c>
      <c r="B39" s="13" t="s">
        <v>304</v>
      </c>
      <c r="C39" s="13" t="str">
        <f t="shared" si="3"/>
        <v>j1     Numbers and Algebra – Numeral Systems</v>
      </c>
      <c r="D39" s="13" t="s">
        <v>594</v>
      </c>
      <c r="E39" s="13" t="s">
        <v>239</v>
      </c>
      <c r="F39" s="13" t="s">
        <v>271</v>
      </c>
      <c r="G39" s="13" t="s">
        <v>331</v>
      </c>
      <c r="K39" s="33">
        <v>10.199999999999999</v>
      </c>
      <c r="L39" s="8" t="s">
        <v>404</v>
      </c>
      <c r="M39" s="8" t="str">
        <f t="shared" si="1"/>
        <v>j1    Numbers and Algebra – Sets and Logic</v>
      </c>
      <c r="N39" s="8" t="s">
        <v>607</v>
      </c>
      <c r="O39" s="8" t="s">
        <v>239</v>
      </c>
      <c r="P39" s="8" t="s">
        <v>239</v>
      </c>
      <c r="Q39" s="9" t="s">
        <v>679</v>
      </c>
      <c r="U39" s="31">
        <v>9.3000000000000007</v>
      </c>
      <c r="V39" s="15" t="s">
        <v>485</v>
      </c>
      <c r="W39" s="15" t="str">
        <f t="shared" si="2"/>
        <v>j1      Shapes and Geometry—Geometric Construction</v>
      </c>
      <c r="X39" s="24" t="s">
        <v>616</v>
      </c>
      <c r="Y39" s="15" t="s">
        <v>239</v>
      </c>
      <c r="Z39" s="15" t="s">
        <v>239</v>
      </c>
      <c r="AA39" s="15" t="s">
        <v>486</v>
      </c>
      <c r="AE39" s="28">
        <v>7.4</v>
      </c>
      <c r="AF39" s="19" t="s">
        <v>557</v>
      </c>
      <c r="AG39" s="19" t="str">
        <f t="shared" si="0"/>
        <v>j1      Numbers and Algebra – Sets and Logic</v>
      </c>
      <c r="AH39" s="19" t="s">
        <v>607</v>
      </c>
      <c r="AI39" s="19" t="s">
        <v>270</v>
      </c>
      <c r="AJ39" s="19" t="s">
        <v>269</v>
      </c>
      <c r="AK39" s="20" t="s">
        <v>649</v>
      </c>
    </row>
    <row r="40" spans="1:37" ht="13" customHeight="1">
      <c r="A40" s="36">
        <v>8.1999999999999993</v>
      </c>
      <c r="B40" s="13" t="s">
        <v>305</v>
      </c>
      <c r="C40" s="13" t="str">
        <f t="shared" si="3"/>
        <v>j1     Numbers and Algebra – Numeral Systems</v>
      </c>
      <c r="D40" s="13" t="s">
        <v>594</v>
      </c>
      <c r="E40" s="13" t="s">
        <v>239</v>
      </c>
      <c r="F40" s="13" t="s">
        <v>239</v>
      </c>
      <c r="G40" s="13" t="s">
        <v>618</v>
      </c>
      <c r="K40" s="33">
        <v>10.3</v>
      </c>
      <c r="L40" s="8" t="s">
        <v>405</v>
      </c>
      <c r="M40" s="8" t="str">
        <f t="shared" si="1"/>
        <v>j1    Numbers and Algebra – Sets and Logic</v>
      </c>
      <c r="N40" s="8" t="s">
        <v>607</v>
      </c>
      <c r="O40" s="8" t="s">
        <v>269</v>
      </c>
      <c r="P40" s="8" t="s">
        <v>269</v>
      </c>
      <c r="Q40" s="8" t="s">
        <v>406</v>
      </c>
      <c r="U40" s="31">
        <v>9.4</v>
      </c>
      <c r="V40" s="15" t="s">
        <v>487</v>
      </c>
      <c r="W40" s="15" t="str">
        <f t="shared" si="2"/>
        <v>j1      Shapes and Geometry—Geometric Construction</v>
      </c>
      <c r="X40" s="24" t="s">
        <v>616</v>
      </c>
      <c r="Y40" s="15" t="s">
        <v>239</v>
      </c>
      <c r="Z40" s="15" t="s">
        <v>239</v>
      </c>
      <c r="AA40" s="15" t="s">
        <v>488</v>
      </c>
      <c r="AE40" s="28">
        <v>7.5</v>
      </c>
      <c r="AF40" s="19" t="s">
        <v>558</v>
      </c>
      <c r="AG40" s="19" t="str">
        <f t="shared" si="0"/>
        <v>j1      Numbers and Algebra – Sets and Logic</v>
      </c>
      <c r="AH40" s="19" t="s">
        <v>607</v>
      </c>
      <c r="AI40" s="19" t="s">
        <v>239</v>
      </c>
      <c r="AJ40" s="19" t="s">
        <v>239</v>
      </c>
      <c r="AK40" s="19" t="s">
        <v>559</v>
      </c>
    </row>
    <row r="41" spans="1:37" ht="13" customHeight="1">
      <c r="A41" s="36">
        <v>8.3000000000000007</v>
      </c>
      <c r="B41" s="13" t="s">
        <v>306</v>
      </c>
      <c r="C41" s="13" t="str">
        <f t="shared" si="3"/>
        <v>j1     Numbers and Algebra – Numeral Systems</v>
      </c>
      <c r="D41" s="13" t="s">
        <v>594</v>
      </c>
      <c r="E41" s="13" t="s">
        <v>240</v>
      </c>
      <c r="F41" s="13" t="s">
        <v>239</v>
      </c>
      <c r="G41" s="13" t="s">
        <v>332</v>
      </c>
      <c r="K41" s="33">
        <v>11.1</v>
      </c>
      <c r="L41" s="8" t="s">
        <v>407</v>
      </c>
      <c r="M41" s="8" t="str">
        <f t="shared" si="1"/>
        <v>j1    Numbers and Algebra — Equations and Inequalities</v>
      </c>
      <c r="N41" s="8" t="s">
        <v>596</v>
      </c>
      <c r="O41" s="8" t="s">
        <v>270</v>
      </c>
      <c r="P41" s="8" t="s">
        <v>269</v>
      </c>
      <c r="Q41" s="9" t="s">
        <v>505</v>
      </c>
      <c r="U41" s="31">
        <v>9.5</v>
      </c>
      <c r="V41" s="15" t="s">
        <v>489</v>
      </c>
      <c r="W41" s="15" t="str">
        <f t="shared" si="2"/>
        <v>j1      Shapes and Geometry—Geometric Construction</v>
      </c>
      <c r="X41" s="24" t="s">
        <v>616</v>
      </c>
      <c r="Y41" s="15" t="s">
        <v>239</v>
      </c>
      <c r="Z41" s="15" t="s">
        <v>269</v>
      </c>
      <c r="AA41" s="15" t="s">
        <v>490</v>
      </c>
      <c r="AE41" s="28">
        <v>8.1</v>
      </c>
      <c r="AF41" s="19" t="s">
        <v>560</v>
      </c>
      <c r="AG41" s="19" t="str">
        <f t="shared" si="0"/>
        <v>j1      Shapes and Geometry – Trigonometry</v>
      </c>
      <c r="AH41" s="19" t="s">
        <v>605</v>
      </c>
      <c r="AI41" s="19" t="s">
        <v>269</v>
      </c>
      <c r="AJ41" s="19" t="s">
        <v>239</v>
      </c>
      <c r="AK41" s="19" t="s">
        <v>561</v>
      </c>
    </row>
    <row r="42" spans="1:37" ht="13" customHeight="1">
      <c r="A42" s="36">
        <v>8.4</v>
      </c>
      <c r="B42" s="13" t="s">
        <v>307</v>
      </c>
      <c r="C42" s="13" t="str">
        <f t="shared" si="3"/>
        <v>j1     Numbers and Algebra – Numeral Systems</v>
      </c>
      <c r="D42" s="13" t="s">
        <v>594</v>
      </c>
      <c r="E42" s="13" t="s">
        <v>240</v>
      </c>
      <c r="F42" s="13" t="s">
        <v>239</v>
      </c>
      <c r="G42" s="13" t="s">
        <v>333</v>
      </c>
      <c r="K42" s="33">
        <v>11.2</v>
      </c>
      <c r="L42" s="8" t="s">
        <v>245</v>
      </c>
      <c r="M42" s="8" t="str">
        <f t="shared" si="1"/>
        <v>j1    Numbers and Algebra — Equations and Inequalities</v>
      </c>
      <c r="N42" s="8" t="s">
        <v>596</v>
      </c>
      <c r="O42" s="8" t="s">
        <v>270</v>
      </c>
      <c r="P42" s="8" t="s">
        <v>269</v>
      </c>
      <c r="Q42" s="8" t="s">
        <v>408</v>
      </c>
      <c r="U42" s="31">
        <v>9.6</v>
      </c>
      <c r="V42" s="15" t="s">
        <v>491</v>
      </c>
      <c r="W42" s="15" t="str">
        <f t="shared" si="2"/>
        <v>j1      Shapes and Geometry—Geometric Construction</v>
      </c>
      <c r="X42" s="24" t="s">
        <v>616</v>
      </c>
      <c r="Y42" s="15" t="s">
        <v>239</v>
      </c>
      <c r="Z42" s="15" t="s">
        <v>239</v>
      </c>
      <c r="AA42" s="15" t="s">
        <v>492</v>
      </c>
      <c r="AE42" s="28">
        <v>8.1999999999999993</v>
      </c>
      <c r="AF42" s="19" t="s">
        <v>562</v>
      </c>
      <c r="AG42" s="19" t="str">
        <f t="shared" si="0"/>
        <v>j1      Shapes and Geometry – Trigonometry</v>
      </c>
      <c r="AH42" s="19" t="s">
        <v>605</v>
      </c>
      <c r="AI42" s="19" t="s">
        <v>270</v>
      </c>
      <c r="AJ42" s="19" t="s">
        <v>239</v>
      </c>
      <c r="AK42" s="20" t="s">
        <v>650</v>
      </c>
    </row>
    <row r="43" spans="1:37" ht="13" customHeight="1">
      <c r="A43" s="36">
        <v>9.1</v>
      </c>
      <c r="B43" s="13" t="s">
        <v>308</v>
      </c>
      <c r="C43" s="13" t="str">
        <f t="shared" si="3"/>
        <v>j1     Numbers and Algebra — Algebraic Expressions</v>
      </c>
      <c r="D43" s="13" t="s">
        <v>595</v>
      </c>
      <c r="E43" s="13" t="s">
        <v>269</v>
      </c>
      <c r="F43" s="13" t="s">
        <v>240</v>
      </c>
      <c r="G43" s="13" t="s">
        <v>334</v>
      </c>
      <c r="K43" s="33">
        <v>11.3</v>
      </c>
      <c r="L43" s="8" t="s">
        <v>409</v>
      </c>
      <c r="M43" s="8" t="str">
        <f t="shared" si="1"/>
        <v>j1    Numbers and Algebra—Functions</v>
      </c>
      <c r="N43" s="8" t="s">
        <v>598</v>
      </c>
      <c r="O43" s="8" t="s">
        <v>270</v>
      </c>
      <c r="P43" s="8" t="s">
        <v>269</v>
      </c>
      <c r="Q43" s="8" t="s">
        <v>678</v>
      </c>
      <c r="U43" s="31">
        <v>9.6999999999999993</v>
      </c>
      <c r="V43" s="15" t="s">
        <v>493</v>
      </c>
      <c r="W43" s="15" t="str">
        <f t="shared" si="2"/>
        <v>j1      Shapes and Geometry—Geometric Construction</v>
      </c>
      <c r="X43" s="24" t="s">
        <v>616</v>
      </c>
      <c r="Y43" s="15" t="s">
        <v>269</v>
      </c>
      <c r="Z43" s="15" t="s">
        <v>269</v>
      </c>
      <c r="AA43" s="15" t="s">
        <v>494</v>
      </c>
      <c r="AE43" s="28">
        <v>9.1</v>
      </c>
      <c r="AF43" s="19" t="s">
        <v>563</v>
      </c>
      <c r="AG43" s="19" t="str">
        <f t="shared" si="0"/>
        <v>j1      Shapes and Geometry – Trigonometry</v>
      </c>
      <c r="AH43" s="19" t="s">
        <v>605</v>
      </c>
      <c r="AI43" s="19" t="s">
        <v>270</v>
      </c>
      <c r="AJ43" s="19" t="s">
        <v>269</v>
      </c>
      <c r="AK43" s="19" t="s">
        <v>564</v>
      </c>
    </row>
    <row r="44" spans="1:37" ht="13" customHeight="1">
      <c r="A44" s="36">
        <v>9.1999999999999993</v>
      </c>
      <c r="B44" s="13" t="s">
        <v>335</v>
      </c>
      <c r="C44" s="13" t="str">
        <f t="shared" si="3"/>
        <v>j1     Numbers and Algebra — Algebraic Expressions</v>
      </c>
      <c r="D44" s="13" t="s">
        <v>595</v>
      </c>
      <c r="E44" s="13" t="s">
        <v>269</v>
      </c>
      <c r="F44" s="13" t="s">
        <v>240</v>
      </c>
      <c r="G44" s="13" t="s">
        <v>336</v>
      </c>
      <c r="K44" s="33">
        <v>12.1</v>
      </c>
      <c r="L44" s="8" t="s">
        <v>410</v>
      </c>
      <c r="M44" s="8" t="str">
        <f t="shared" si="1"/>
        <v>j1    Numbers and Algebra — Rational Expressions</v>
      </c>
      <c r="N44" s="8" t="s">
        <v>606</v>
      </c>
      <c r="O44" s="8" t="s">
        <v>270</v>
      </c>
      <c r="P44" s="8" t="s">
        <v>239</v>
      </c>
      <c r="Q44" s="8" t="s">
        <v>411</v>
      </c>
      <c r="U44" s="31">
        <v>9.8000000000000007</v>
      </c>
      <c r="V44" s="15" t="s">
        <v>495</v>
      </c>
      <c r="W44" s="15" t="str">
        <f t="shared" si="2"/>
        <v>j1      Shapes and Geometry—Geometric Construction</v>
      </c>
      <c r="X44" s="24" t="s">
        <v>616</v>
      </c>
      <c r="Y44" s="15" t="s">
        <v>239</v>
      </c>
      <c r="Z44" s="15" t="s">
        <v>269</v>
      </c>
      <c r="AA44" s="15" t="s">
        <v>496</v>
      </c>
      <c r="AE44" s="28">
        <v>9.1999999999999993</v>
      </c>
      <c r="AF44" s="19" t="s">
        <v>565</v>
      </c>
      <c r="AG44" s="19" t="str">
        <f t="shared" si="0"/>
        <v>j1      Shapes and Geometry – Trigonometry</v>
      </c>
      <c r="AH44" s="19" t="s">
        <v>605</v>
      </c>
      <c r="AI44" s="19" t="s">
        <v>270</v>
      </c>
      <c r="AJ44" s="19" t="s">
        <v>269</v>
      </c>
      <c r="AK44" s="20" t="s">
        <v>651</v>
      </c>
    </row>
    <row r="45" spans="1:37" ht="13" customHeight="1">
      <c r="A45" s="36">
        <v>9.3000000000000007</v>
      </c>
      <c r="B45" s="13" t="s">
        <v>337</v>
      </c>
      <c r="C45" s="13" t="str">
        <f t="shared" si="3"/>
        <v>j1     Numbers and Algebra — Algebraic Expressions</v>
      </c>
      <c r="D45" s="13" t="s">
        <v>595</v>
      </c>
      <c r="E45" s="13" t="s">
        <v>269</v>
      </c>
      <c r="F45" s="13" t="s">
        <v>240</v>
      </c>
      <c r="G45" s="13" t="s">
        <v>338</v>
      </c>
      <c r="K45" s="33">
        <v>12.2</v>
      </c>
      <c r="L45" s="8" t="s">
        <v>412</v>
      </c>
      <c r="M45" s="8" t="str">
        <f t="shared" si="1"/>
        <v>j1    Numbers and Algebra — Rational Expressions</v>
      </c>
      <c r="N45" s="8" t="s">
        <v>606</v>
      </c>
      <c r="O45" s="8" t="s">
        <v>270</v>
      </c>
      <c r="P45" s="8" t="s">
        <v>269</v>
      </c>
      <c r="Q45" s="9" t="s">
        <v>677</v>
      </c>
      <c r="U45" s="31">
        <v>10.1</v>
      </c>
      <c r="V45" s="15" t="s">
        <v>497</v>
      </c>
      <c r="W45" s="15" t="str">
        <f t="shared" si="2"/>
        <v>j1      Shapes and Geometry: Translation, Rotation, and Symmetry</v>
      </c>
      <c r="X45" s="24" t="s">
        <v>600</v>
      </c>
      <c r="Y45" s="15" t="s">
        <v>269</v>
      </c>
      <c r="Z45" s="15" t="s">
        <v>239</v>
      </c>
      <c r="AA45" s="15" t="s">
        <v>498</v>
      </c>
      <c r="AE45" s="28">
        <v>9.3000000000000007</v>
      </c>
      <c r="AF45" s="19" t="s">
        <v>566</v>
      </c>
      <c r="AG45" s="19" t="str">
        <f t="shared" si="0"/>
        <v>j1      Shapes and Geometry – Trigonometry</v>
      </c>
      <c r="AH45" s="19" t="s">
        <v>605</v>
      </c>
      <c r="AI45" s="19" t="s">
        <v>270</v>
      </c>
      <c r="AJ45" s="19" t="s">
        <v>269</v>
      </c>
      <c r="AK45" s="19" t="s">
        <v>567</v>
      </c>
    </row>
    <row r="46" spans="1:37" ht="13" customHeight="1">
      <c r="A46" s="36">
        <v>9.4</v>
      </c>
      <c r="B46" s="13" t="s">
        <v>339</v>
      </c>
      <c r="C46" s="13" t="str">
        <f t="shared" si="3"/>
        <v>j1     Numbers and Algebra — Algebraic Expressions</v>
      </c>
      <c r="D46" s="13" t="s">
        <v>595</v>
      </c>
      <c r="E46" s="13" t="s">
        <v>269</v>
      </c>
      <c r="F46" s="13" t="s">
        <v>240</v>
      </c>
      <c r="G46" s="14" t="s">
        <v>672</v>
      </c>
      <c r="K46" s="33">
        <v>12.3</v>
      </c>
      <c r="L46" s="8" t="s">
        <v>413</v>
      </c>
      <c r="M46" s="8" t="str">
        <f t="shared" si="1"/>
        <v>j1    Numbers and Algebra — Rational Expressions</v>
      </c>
      <c r="N46" s="8" t="s">
        <v>606</v>
      </c>
      <c r="O46" s="8" t="s">
        <v>239</v>
      </c>
      <c r="P46" s="8" t="s">
        <v>269</v>
      </c>
      <c r="Q46" s="8" t="s">
        <v>414</v>
      </c>
      <c r="U46" s="31">
        <v>10.199999999999999</v>
      </c>
      <c r="V46" s="15" t="s">
        <v>499</v>
      </c>
      <c r="W46" s="15" t="str">
        <f t="shared" si="2"/>
        <v>j1      Shapes and Geometry: Translation, Rotation, and Symmetry</v>
      </c>
      <c r="X46" s="24" t="s">
        <v>600</v>
      </c>
      <c r="Y46" s="15" t="s">
        <v>269</v>
      </c>
      <c r="Z46" s="15" t="s">
        <v>240</v>
      </c>
      <c r="AA46" s="15" t="s">
        <v>500</v>
      </c>
      <c r="AE46" s="28">
        <v>9.4</v>
      </c>
      <c r="AF46" s="19" t="s">
        <v>568</v>
      </c>
      <c r="AG46" s="19" t="str">
        <f t="shared" si="0"/>
        <v>j1      Shapes and Geometry – Trigonometry</v>
      </c>
      <c r="AH46" s="19" t="s">
        <v>605</v>
      </c>
      <c r="AI46" s="19" t="s">
        <v>269</v>
      </c>
      <c r="AJ46" s="19" t="s">
        <v>269</v>
      </c>
      <c r="AK46" s="20" t="s">
        <v>652</v>
      </c>
    </row>
    <row r="47" spans="1:37" ht="13" customHeight="1">
      <c r="A47" s="36">
        <v>9.5</v>
      </c>
      <c r="B47" s="13" t="s">
        <v>340</v>
      </c>
      <c r="C47" s="13" t="str">
        <f t="shared" si="3"/>
        <v>j1     Numbers and Algebra — Algebraic Expressions</v>
      </c>
      <c r="D47" s="13" t="s">
        <v>595</v>
      </c>
      <c r="E47" s="13" t="s">
        <v>269</v>
      </c>
      <c r="F47" s="13" t="s">
        <v>239</v>
      </c>
      <c r="G47" s="13" t="s">
        <v>323</v>
      </c>
      <c r="K47" s="33">
        <v>12.4</v>
      </c>
      <c r="L47" s="8" t="s">
        <v>415</v>
      </c>
      <c r="M47" s="8" t="str">
        <f t="shared" si="1"/>
        <v>j1    Numbers and Algebra — Rational Expressions</v>
      </c>
      <c r="N47" s="8" t="s">
        <v>606</v>
      </c>
      <c r="O47" s="8" t="s">
        <v>270</v>
      </c>
      <c r="P47" s="8" t="s">
        <v>269</v>
      </c>
      <c r="Q47" s="8" t="s">
        <v>416</v>
      </c>
      <c r="U47" s="31">
        <v>10.3</v>
      </c>
      <c r="V47" s="15" t="s">
        <v>501</v>
      </c>
      <c r="W47" s="15" t="str">
        <f t="shared" si="2"/>
        <v>j1      Shapes and Geometry: Translation, Rotation, and Symmetry</v>
      </c>
      <c r="X47" s="24" t="s">
        <v>600</v>
      </c>
      <c r="Y47" s="15" t="s">
        <v>269</v>
      </c>
      <c r="Z47" s="15" t="s">
        <v>239</v>
      </c>
      <c r="AA47" s="15" t="s">
        <v>502</v>
      </c>
      <c r="AE47" s="28">
        <v>10.1</v>
      </c>
      <c r="AF47" s="19" t="s">
        <v>569</v>
      </c>
      <c r="AG47" s="19" t="str">
        <f t="shared" si="0"/>
        <v>j1      Shapes and Geometry – Trigonometry</v>
      </c>
      <c r="AH47" s="19" t="s">
        <v>605</v>
      </c>
      <c r="AI47" s="19" t="s">
        <v>270</v>
      </c>
      <c r="AJ47" s="19" t="s">
        <v>269</v>
      </c>
      <c r="AK47" s="20" t="s">
        <v>653</v>
      </c>
    </row>
    <row r="48" spans="1:37" ht="13" customHeight="1">
      <c r="A48" s="36">
        <v>9.6</v>
      </c>
      <c r="B48" s="13" t="s">
        <v>341</v>
      </c>
      <c r="C48" s="13" t="str">
        <f t="shared" si="3"/>
        <v>j1     Numbers and Algebra — Equations and Inequalities</v>
      </c>
      <c r="D48" s="13" t="s">
        <v>596</v>
      </c>
      <c r="E48" s="13" t="s">
        <v>269</v>
      </c>
      <c r="F48" s="13" t="s">
        <v>240</v>
      </c>
      <c r="G48" s="13" t="s">
        <v>342</v>
      </c>
      <c r="K48" s="33">
        <v>12.5</v>
      </c>
      <c r="L48" s="8" t="s">
        <v>245</v>
      </c>
      <c r="M48" s="8" t="str">
        <f t="shared" si="1"/>
        <v>j1    Numbers and Algebra — Rational Expressions</v>
      </c>
      <c r="N48" s="8" t="s">
        <v>606</v>
      </c>
      <c r="O48" s="8" t="s">
        <v>269</v>
      </c>
      <c r="P48" s="8" t="s">
        <v>269</v>
      </c>
      <c r="Q48" s="8" t="s">
        <v>417</v>
      </c>
      <c r="U48" s="31">
        <v>10.4</v>
      </c>
      <c r="V48" s="15" t="s">
        <v>503</v>
      </c>
      <c r="W48" s="15" t="str">
        <f t="shared" si="2"/>
        <v>j1      Shapes and Geometry: Translation, Rotation, and Symmetry</v>
      </c>
      <c r="X48" s="24" t="s">
        <v>600</v>
      </c>
      <c r="Y48" s="15" t="s">
        <v>239</v>
      </c>
      <c r="Z48" s="15" t="s">
        <v>239</v>
      </c>
      <c r="AA48" s="15" t="s">
        <v>504</v>
      </c>
      <c r="AE48" s="28">
        <v>10.199999999999999</v>
      </c>
      <c r="AF48" s="19" t="s">
        <v>570</v>
      </c>
      <c r="AG48" s="19" t="str">
        <f t="shared" si="0"/>
        <v>j1      Shapes and Geometry – Trigonometry</v>
      </c>
      <c r="AH48" s="19" t="s">
        <v>605</v>
      </c>
      <c r="AI48" s="19" t="s">
        <v>270</v>
      </c>
      <c r="AJ48" s="19" t="s">
        <v>269</v>
      </c>
      <c r="AK48" s="20" t="s">
        <v>654</v>
      </c>
    </row>
    <row r="49" spans="1:37" ht="13" customHeight="1">
      <c r="A49" s="36">
        <v>10.1</v>
      </c>
      <c r="B49" s="13" t="s">
        <v>343</v>
      </c>
      <c r="C49" s="13" t="str">
        <f t="shared" si="3"/>
        <v>j1     Numbers and Algebra — Equations and Inequalities</v>
      </c>
      <c r="D49" s="13" t="s">
        <v>596</v>
      </c>
      <c r="E49" s="13" t="s">
        <v>270</v>
      </c>
      <c r="F49" s="13" t="s">
        <v>240</v>
      </c>
      <c r="G49" s="14" t="s">
        <v>673</v>
      </c>
      <c r="K49" s="33">
        <v>13.1</v>
      </c>
      <c r="L49" s="8" t="s">
        <v>418</v>
      </c>
      <c r="M49" s="8" t="str">
        <f t="shared" si="1"/>
        <v>j1    Numbers and Algebra — Algebraic Expressions</v>
      </c>
      <c r="N49" s="8" t="s">
        <v>595</v>
      </c>
      <c r="O49" s="8" t="s">
        <v>269</v>
      </c>
      <c r="P49" s="8" t="s">
        <v>239</v>
      </c>
      <c r="Q49" s="8" t="s">
        <v>419</v>
      </c>
      <c r="AE49" s="28">
        <v>10.3</v>
      </c>
      <c r="AF49" s="19" t="s">
        <v>571</v>
      </c>
      <c r="AG49" s="19" t="str">
        <f t="shared" si="0"/>
        <v>j1      Shapes and Geometry – Trigonometry</v>
      </c>
      <c r="AH49" s="19" t="s">
        <v>605</v>
      </c>
      <c r="AI49" s="19" t="s">
        <v>270</v>
      </c>
      <c r="AJ49" s="19" t="s">
        <v>239</v>
      </c>
      <c r="AK49" s="20" t="s">
        <v>655</v>
      </c>
    </row>
    <row r="50" spans="1:37" ht="13" customHeight="1">
      <c r="A50" s="36">
        <v>10.199999999999999</v>
      </c>
      <c r="B50" s="13" t="s">
        <v>344</v>
      </c>
      <c r="C50" s="13" t="str">
        <f t="shared" si="3"/>
        <v>j1     Numbers and Algebra — Equations and Inequalities</v>
      </c>
      <c r="D50" s="13" t="s">
        <v>596</v>
      </c>
      <c r="E50" s="13" t="s">
        <v>270</v>
      </c>
      <c r="F50" s="13" t="s">
        <v>239</v>
      </c>
      <c r="G50" s="13" t="s">
        <v>345</v>
      </c>
      <c r="K50" s="33">
        <v>13.2</v>
      </c>
      <c r="L50" s="8" t="s">
        <v>420</v>
      </c>
      <c r="M50" s="8" t="str">
        <f t="shared" si="1"/>
        <v>j1    Numbers and Algebra — Algebraic Expressions</v>
      </c>
      <c r="N50" s="8" t="s">
        <v>595</v>
      </c>
      <c r="O50" s="8" t="s">
        <v>269</v>
      </c>
      <c r="P50" s="8" t="s">
        <v>239</v>
      </c>
      <c r="Q50" s="9" t="s">
        <v>676</v>
      </c>
      <c r="AE50" s="28">
        <v>10.4</v>
      </c>
      <c r="AF50" s="19" t="s">
        <v>572</v>
      </c>
      <c r="AG50" s="19" t="str">
        <f t="shared" si="0"/>
        <v>j1      Shapes and Geometry – Trigonometry</v>
      </c>
      <c r="AH50" s="19" t="s">
        <v>605</v>
      </c>
      <c r="AI50" s="19" t="s">
        <v>269</v>
      </c>
      <c r="AJ50" s="19" t="s">
        <v>269</v>
      </c>
      <c r="AK50" s="19" t="s">
        <v>469</v>
      </c>
    </row>
    <row r="51" spans="1:37" ht="13" customHeight="1">
      <c r="A51" s="36">
        <v>11.1</v>
      </c>
      <c r="B51" s="13" t="s">
        <v>346</v>
      </c>
      <c r="C51" s="13" t="str">
        <f t="shared" si="3"/>
        <v>j1     Numbers and Algebra – Ratios and Proportions</v>
      </c>
      <c r="D51" s="13" t="s">
        <v>597</v>
      </c>
      <c r="E51" s="13" t="s">
        <v>269</v>
      </c>
      <c r="F51" s="13" t="s">
        <v>240</v>
      </c>
      <c r="G51" s="14" t="s">
        <v>674</v>
      </c>
      <c r="K51" s="33">
        <v>14.1</v>
      </c>
      <c r="L51" s="8" t="s">
        <v>421</v>
      </c>
      <c r="M51" s="8" t="str">
        <f t="shared" si="1"/>
        <v>j1    Numbers and Algebra — Equations and Inequalities</v>
      </c>
      <c r="N51" s="8" t="s">
        <v>596</v>
      </c>
      <c r="O51" s="8" t="s">
        <v>270</v>
      </c>
      <c r="P51" s="8" t="s">
        <v>239</v>
      </c>
      <c r="Q51" s="8" t="s">
        <v>422</v>
      </c>
      <c r="AE51" s="28">
        <v>11.1</v>
      </c>
      <c r="AF51" s="19" t="s">
        <v>573</v>
      </c>
      <c r="AG51" s="19" t="str">
        <f t="shared" si="0"/>
        <v>j1      Shapes and Geometry – Trigonometry</v>
      </c>
      <c r="AH51" s="19" t="s">
        <v>605</v>
      </c>
      <c r="AI51" s="19" t="s">
        <v>270</v>
      </c>
      <c r="AJ51" s="19" t="s">
        <v>239</v>
      </c>
      <c r="AK51" s="20" t="s">
        <v>656</v>
      </c>
    </row>
    <row r="52" spans="1:37" ht="13" customHeight="1">
      <c r="A52" s="36">
        <v>11.2</v>
      </c>
      <c r="B52" s="13" t="s">
        <v>268</v>
      </c>
      <c r="C52" s="13" t="str">
        <f t="shared" si="3"/>
        <v>j1     Numbers and Algebra – Ratios and Proportions</v>
      </c>
      <c r="D52" s="13" t="s">
        <v>597</v>
      </c>
      <c r="E52" s="13" t="s">
        <v>269</v>
      </c>
      <c r="F52" s="13" t="s">
        <v>239</v>
      </c>
      <c r="G52" s="13" t="s">
        <v>257</v>
      </c>
      <c r="K52" s="33">
        <v>14.2</v>
      </c>
      <c r="L52" s="8" t="s">
        <v>423</v>
      </c>
      <c r="M52" s="8" t="str">
        <f t="shared" si="1"/>
        <v>j1    Numbers and Algebra — Equations and Inequalities</v>
      </c>
      <c r="N52" s="8" t="s">
        <v>596</v>
      </c>
      <c r="O52" s="8" t="s">
        <v>270</v>
      </c>
      <c r="P52" s="8" t="s">
        <v>239</v>
      </c>
      <c r="Q52" s="9" t="s">
        <v>675</v>
      </c>
      <c r="AE52" s="28">
        <v>11.2</v>
      </c>
      <c r="AF52" s="19" t="s">
        <v>574</v>
      </c>
      <c r="AG52" s="19" t="str">
        <f t="shared" si="0"/>
        <v>j1      Shapes and Geometry – Trigonometry</v>
      </c>
      <c r="AH52" s="19" t="s">
        <v>605</v>
      </c>
      <c r="AI52" s="19" t="s">
        <v>270</v>
      </c>
      <c r="AJ52" s="19" t="s">
        <v>269</v>
      </c>
      <c r="AK52" s="20" t="s">
        <v>657</v>
      </c>
    </row>
    <row r="53" spans="1:37" ht="13" customHeight="1">
      <c r="A53" s="36">
        <v>11.3</v>
      </c>
      <c r="B53" s="13" t="s">
        <v>256</v>
      </c>
      <c r="C53" s="13" t="str">
        <f t="shared" si="3"/>
        <v>j1     Numbers and Algebra—Functions</v>
      </c>
      <c r="D53" s="13" t="s">
        <v>598</v>
      </c>
      <c r="E53" s="13" t="s">
        <v>269</v>
      </c>
      <c r="F53" s="13" t="s">
        <v>239</v>
      </c>
      <c r="G53" s="13" t="s">
        <v>702</v>
      </c>
      <c r="K53" s="33">
        <v>14.3</v>
      </c>
      <c r="L53" s="8" t="s">
        <v>424</v>
      </c>
      <c r="M53" s="8" t="str">
        <f t="shared" si="1"/>
        <v>j1    Numbers and Algebra — Equations and Inequalities</v>
      </c>
      <c r="N53" s="8" t="s">
        <v>596</v>
      </c>
      <c r="O53" s="8" t="s">
        <v>270</v>
      </c>
      <c r="P53" s="8" t="s">
        <v>269</v>
      </c>
      <c r="Q53" s="8" t="s">
        <v>425</v>
      </c>
      <c r="AE53" s="28">
        <v>11.3</v>
      </c>
      <c r="AF53" s="19" t="s">
        <v>575</v>
      </c>
      <c r="AG53" s="19" t="str">
        <f t="shared" si="0"/>
        <v>j1      Shapes and Geometry – Trigonometry</v>
      </c>
      <c r="AH53" s="19" t="s">
        <v>605</v>
      </c>
      <c r="AI53" s="19" t="s">
        <v>270</v>
      </c>
      <c r="AJ53" s="19" t="s">
        <v>269</v>
      </c>
      <c r="AK53" s="20" t="s">
        <v>658</v>
      </c>
    </row>
    <row r="54" spans="1:37" ht="13" customHeight="1">
      <c r="A54" s="36">
        <v>12.1</v>
      </c>
      <c r="B54" s="13" t="s">
        <v>255</v>
      </c>
      <c r="C54" s="13" t="str">
        <f t="shared" si="3"/>
        <v>j1     Shapes and Geometry – Recognizing Shapes</v>
      </c>
      <c r="D54" s="13" t="s">
        <v>599</v>
      </c>
      <c r="E54" s="13" t="s">
        <v>239</v>
      </c>
      <c r="F54" s="13" t="s">
        <v>271</v>
      </c>
      <c r="G54" s="13" t="s">
        <v>258</v>
      </c>
      <c r="K54" s="33">
        <v>14.4</v>
      </c>
      <c r="L54" s="8" t="s">
        <v>245</v>
      </c>
      <c r="M54" s="8" t="str">
        <f t="shared" si="1"/>
        <v>j1    Numbers and Algebra — Equations and Inequalities</v>
      </c>
      <c r="N54" s="8" t="s">
        <v>596</v>
      </c>
      <c r="O54" s="8" t="s">
        <v>270</v>
      </c>
      <c r="P54" s="8" t="s">
        <v>269</v>
      </c>
      <c r="Q54" s="8" t="s">
        <v>426</v>
      </c>
      <c r="AE54" s="28">
        <v>11.4</v>
      </c>
      <c r="AF54" s="19" t="s">
        <v>576</v>
      </c>
      <c r="AG54" s="19" t="str">
        <f t="shared" si="0"/>
        <v>j1      Shapes and Geometry – Trigonometry</v>
      </c>
      <c r="AH54" s="19" t="s">
        <v>605</v>
      </c>
      <c r="AI54" s="19" t="s">
        <v>270</v>
      </c>
      <c r="AJ54" s="19" t="s">
        <v>269</v>
      </c>
      <c r="AK54" s="19" t="s">
        <v>659</v>
      </c>
    </row>
    <row r="55" spans="1:37" ht="33">
      <c r="A55" s="36">
        <v>12.2</v>
      </c>
      <c r="B55" s="13" t="s">
        <v>254</v>
      </c>
      <c r="C55" s="13" t="str">
        <f t="shared" si="3"/>
        <v>j1     Shapes and Geometry: Translation, Rotation, and Symmetry</v>
      </c>
      <c r="D55" s="13" t="s">
        <v>600</v>
      </c>
      <c r="E55" s="13" t="s">
        <v>239</v>
      </c>
      <c r="F55" s="13" t="s">
        <v>240</v>
      </c>
      <c r="G55" s="13" t="s">
        <v>259</v>
      </c>
      <c r="AE55" s="28">
        <v>12.1</v>
      </c>
      <c r="AF55" s="19" t="s">
        <v>577</v>
      </c>
      <c r="AG55" s="19" t="str">
        <f t="shared" si="0"/>
        <v>j1      Numbers and Algebra—Functions</v>
      </c>
      <c r="AH55" s="19" t="s">
        <v>598</v>
      </c>
      <c r="AI55" s="19" t="s">
        <v>270</v>
      </c>
      <c r="AJ55" s="19" t="s">
        <v>269</v>
      </c>
      <c r="AK55" s="20" t="s">
        <v>660</v>
      </c>
    </row>
    <row r="56" spans="1:37" ht="17.5">
      <c r="A56" s="36">
        <v>12.3</v>
      </c>
      <c r="B56" s="13" t="s">
        <v>253</v>
      </c>
      <c r="C56" s="13" t="str">
        <f t="shared" si="3"/>
        <v>j1     Shapes and Geometry – Lines and Angles</v>
      </c>
      <c r="D56" s="13" t="s">
        <v>601</v>
      </c>
      <c r="E56" s="13" t="s">
        <v>269</v>
      </c>
      <c r="F56" s="13" t="s">
        <v>240</v>
      </c>
      <c r="G56" s="13" t="s">
        <v>347</v>
      </c>
      <c r="AE56" s="28">
        <v>12.2</v>
      </c>
      <c r="AF56" s="19" t="s">
        <v>578</v>
      </c>
      <c r="AG56" s="19" t="str">
        <f t="shared" si="0"/>
        <v>j1      Numbers and Algebra—Functions</v>
      </c>
      <c r="AH56" s="19" t="s">
        <v>598</v>
      </c>
      <c r="AI56" s="19" t="s">
        <v>270</v>
      </c>
      <c r="AJ56" s="19" t="s">
        <v>269</v>
      </c>
      <c r="AK56" s="20" t="s">
        <v>661</v>
      </c>
    </row>
    <row r="57" spans="1:37" ht="16.5">
      <c r="A57" s="36">
        <v>12.4</v>
      </c>
      <c r="B57" s="13" t="s">
        <v>252</v>
      </c>
      <c r="C57" s="13" t="str">
        <f t="shared" si="3"/>
        <v>j1     Shapes and Geometry – Lines and Angles</v>
      </c>
      <c r="D57" s="13" t="s">
        <v>601</v>
      </c>
      <c r="E57" s="13" t="s">
        <v>239</v>
      </c>
      <c r="F57" s="13" t="s">
        <v>271</v>
      </c>
      <c r="G57" s="13" t="s">
        <v>260</v>
      </c>
      <c r="AE57" s="28">
        <v>12.3</v>
      </c>
      <c r="AF57" s="19" t="s">
        <v>579</v>
      </c>
      <c r="AG57" s="19" t="str">
        <f t="shared" si="0"/>
        <v>j1      Numbers and Algebra—Functions</v>
      </c>
      <c r="AH57" s="19" t="s">
        <v>598</v>
      </c>
      <c r="AI57" s="19" t="s">
        <v>270</v>
      </c>
      <c r="AJ57" s="19" t="s">
        <v>269</v>
      </c>
      <c r="AK57" s="19" t="s">
        <v>580</v>
      </c>
    </row>
    <row r="58" spans="1:37" ht="17.5">
      <c r="A58" s="36">
        <v>12.5</v>
      </c>
      <c r="B58" s="13" t="s">
        <v>251</v>
      </c>
      <c r="C58" s="13" t="str">
        <f t="shared" si="3"/>
        <v>j1     Shapes and Geometry – Lines and Angles</v>
      </c>
      <c r="D58" s="13" t="s">
        <v>601</v>
      </c>
      <c r="E58" s="13" t="s">
        <v>269</v>
      </c>
      <c r="F58" s="13" t="s">
        <v>240</v>
      </c>
      <c r="G58" s="13" t="s">
        <v>348</v>
      </c>
      <c r="AE58" s="28">
        <v>13.1</v>
      </c>
      <c r="AF58" s="19" t="s">
        <v>581</v>
      </c>
      <c r="AG58" s="19" t="str">
        <f t="shared" si="0"/>
        <v>j1      Numbers and Algebra – Sequences</v>
      </c>
      <c r="AH58" s="19" t="s">
        <v>589</v>
      </c>
      <c r="AI58" s="19" t="s">
        <v>270</v>
      </c>
      <c r="AJ58" s="19" t="s">
        <v>239</v>
      </c>
      <c r="AK58" s="20" t="s">
        <v>662</v>
      </c>
    </row>
    <row r="59" spans="1:37" ht="17.5">
      <c r="A59" s="36">
        <v>12.6</v>
      </c>
      <c r="B59" s="13" t="s">
        <v>250</v>
      </c>
      <c r="C59" s="13" t="str">
        <f t="shared" si="3"/>
        <v>j1     Shapes and Geometry – Lines and Angles</v>
      </c>
      <c r="D59" s="13" t="s">
        <v>601</v>
      </c>
      <c r="E59" s="13" t="s">
        <v>269</v>
      </c>
      <c r="F59" s="13" t="s">
        <v>240</v>
      </c>
      <c r="G59" s="13" t="s">
        <v>261</v>
      </c>
      <c r="AE59" s="28">
        <v>13.2</v>
      </c>
      <c r="AF59" s="19" t="s">
        <v>695</v>
      </c>
      <c r="AG59" s="19" t="str">
        <f t="shared" si="0"/>
        <v>j1      Numbers and Algebra – Sequences</v>
      </c>
      <c r="AH59" s="19" t="s">
        <v>589</v>
      </c>
      <c r="AI59" s="19" t="s">
        <v>270</v>
      </c>
      <c r="AJ59" s="19" t="s">
        <v>239</v>
      </c>
      <c r="AK59" s="20" t="s">
        <v>662</v>
      </c>
    </row>
    <row r="60" spans="1:37" ht="17.5">
      <c r="A60" s="36">
        <v>12.7</v>
      </c>
      <c r="B60" s="13" t="s">
        <v>249</v>
      </c>
      <c r="C60" s="13" t="str">
        <f t="shared" si="3"/>
        <v>j1     Shapes and Geometry – Lines and Angles</v>
      </c>
      <c r="D60" s="13" t="s">
        <v>601</v>
      </c>
      <c r="E60" s="13" t="s">
        <v>270</v>
      </c>
      <c r="F60" s="13" t="s">
        <v>239</v>
      </c>
      <c r="G60" s="13" t="s">
        <v>267</v>
      </c>
      <c r="AE60" s="28">
        <v>13.3</v>
      </c>
      <c r="AF60" s="19" t="s">
        <v>582</v>
      </c>
      <c r="AG60" s="19" t="str">
        <f t="shared" si="0"/>
        <v>j1      Numbers and Algebra – Sequences</v>
      </c>
      <c r="AH60" s="19" t="s">
        <v>589</v>
      </c>
      <c r="AI60" s="19" t="s">
        <v>270</v>
      </c>
      <c r="AJ60" s="19" t="s">
        <v>269</v>
      </c>
      <c r="AK60" s="20" t="s">
        <v>663</v>
      </c>
    </row>
    <row r="61" spans="1:37" ht="17.5">
      <c r="A61" s="36">
        <v>12.8</v>
      </c>
      <c r="B61" s="13" t="s">
        <v>248</v>
      </c>
      <c r="C61" s="13" t="str">
        <f t="shared" si="3"/>
        <v>j1     Shapes and Geometry – Lines and Angles</v>
      </c>
      <c r="D61" s="13" t="s">
        <v>601</v>
      </c>
      <c r="E61" s="13" t="s">
        <v>270</v>
      </c>
      <c r="F61" s="13" t="s">
        <v>239</v>
      </c>
      <c r="G61" s="13" t="s">
        <v>349</v>
      </c>
      <c r="AE61" s="28">
        <v>13.4</v>
      </c>
      <c r="AF61" s="19" t="s">
        <v>583</v>
      </c>
      <c r="AG61" s="19" t="str">
        <f t="shared" si="0"/>
        <v>j1      Numbers and Algebra – Sequences</v>
      </c>
      <c r="AH61" s="19" t="s">
        <v>589</v>
      </c>
      <c r="AI61" s="19" t="s">
        <v>269</v>
      </c>
      <c r="AJ61" s="19" t="s">
        <v>269</v>
      </c>
      <c r="AK61" s="20" t="s">
        <v>694</v>
      </c>
    </row>
    <row r="62" spans="1:37" ht="17.5">
      <c r="A62" s="36">
        <v>13.1</v>
      </c>
      <c r="B62" s="13" t="s">
        <v>247</v>
      </c>
      <c r="C62" s="13" t="str">
        <f t="shared" si="3"/>
        <v>j1     Numbers and Algebra – Systems of Equations</v>
      </c>
      <c r="D62" s="13" t="s">
        <v>602</v>
      </c>
      <c r="E62" s="13" t="s">
        <v>270</v>
      </c>
      <c r="F62" s="13" t="s">
        <v>239</v>
      </c>
      <c r="G62" s="13" t="s">
        <v>262</v>
      </c>
      <c r="AE62" s="28">
        <v>13.5</v>
      </c>
      <c r="AF62" s="19" t="s">
        <v>584</v>
      </c>
      <c r="AG62" s="19" t="str">
        <f t="shared" si="0"/>
        <v>j1      Numbers and Algebra – Sequences</v>
      </c>
      <c r="AH62" s="19" t="s">
        <v>589</v>
      </c>
      <c r="AI62" s="19" t="s">
        <v>239</v>
      </c>
      <c r="AJ62" s="19" t="s">
        <v>269</v>
      </c>
      <c r="AK62" s="20" t="s">
        <v>705</v>
      </c>
    </row>
    <row r="63" spans="1:37" ht="16.5">
      <c r="A63" s="36">
        <v>13.2</v>
      </c>
      <c r="B63" s="13" t="s">
        <v>246</v>
      </c>
      <c r="C63" s="13" t="str">
        <f t="shared" si="3"/>
        <v>j1     Numbers and Algebra – Systems of Equations</v>
      </c>
      <c r="D63" s="13" t="s">
        <v>602</v>
      </c>
      <c r="E63" s="13" t="s">
        <v>270</v>
      </c>
      <c r="F63" s="13" t="s">
        <v>239</v>
      </c>
      <c r="G63" s="13" t="s">
        <v>263</v>
      </c>
    </row>
    <row r="64" spans="1:37" ht="16.5">
      <c r="A64" s="36">
        <v>13.3</v>
      </c>
      <c r="B64" s="13" t="s">
        <v>264</v>
      </c>
      <c r="C64" s="13" t="str">
        <f t="shared" si="3"/>
        <v>j1     Numbers and Algebra – Systems of Equations</v>
      </c>
      <c r="D64" s="13" t="s">
        <v>602</v>
      </c>
      <c r="E64" s="13" t="s">
        <v>270</v>
      </c>
      <c r="F64" s="13" t="s">
        <v>239</v>
      </c>
      <c r="G64" s="13" t="s">
        <v>265</v>
      </c>
    </row>
    <row r="65" spans="1:7" ht="33">
      <c r="A65" s="36">
        <v>13.4</v>
      </c>
      <c r="B65" s="13" t="s">
        <v>245</v>
      </c>
      <c r="C65" s="13" t="str">
        <f t="shared" si="3"/>
        <v>j1     Numbers and Algebra – Systems of Equations</v>
      </c>
      <c r="D65" s="13" t="s">
        <v>602</v>
      </c>
      <c r="E65" s="13" t="s">
        <v>270</v>
      </c>
      <c r="F65" s="13" t="s">
        <v>269</v>
      </c>
      <c r="G65" s="13" t="s">
        <v>350</v>
      </c>
    </row>
    <row r="66" spans="1:7" ht="18">
      <c r="A66" s="36">
        <v>14.1</v>
      </c>
      <c r="B66" s="13" t="s">
        <v>244</v>
      </c>
      <c r="C66" s="13" t="str">
        <f t="shared" si="3"/>
        <v>j1     Shapes and Geometry – Coordinate Geometry</v>
      </c>
      <c r="D66" s="13" t="s">
        <v>603</v>
      </c>
      <c r="E66" s="13" t="s">
        <v>269</v>
      </c>
      <c r="F66" s="13" t="s">
        <v>240</v>
      </c>
      <c r="G66" s="13" t="s">
        <v>351</v>
      </c>
    </row>
    <row r="67" spans="1:7" ht="18">
      <c r="A67" s="36">
        <v>14.2</v>
      </c>
      <c r="B67" s="13" t="s">
        <v>243</v>
      </c>
      <c r="C67" s="13" t="str">
        <f t="shared" si="3"/>
        <v>j1     Shapes and Geometry – Coordinate Geometry</v>
      </c>
      <c r="D67" s="13" t="s">
        <v>603</v>
      </c>
      <c r="E67" s="13" t="s">
        <v>269</v>
      </c>
      <c r="F67" s="13" t="s">
        <v>239</v>
      </c>
      <c r="G67" s="14" t="s">
        <v>703</v>
      </c>
    </row>
    <row r="68" spans="1:7" ht="16.5">
      <c r="A68" s="36">
        <v>14.3</v>
      </c>
      <c r="B68" s="13" t="s">
        <v>242</v>
      </c>
      <c r="C68" s="13" t="str">
        <f t="shared" si="3"/>
        <v>j1     Shapes and Geometry – Coordinate Geometry</v>
      </c>
      <c r="D68" s="13" t="s">
        <v>603</v>
      </c>
      <c r="E68" s="13" t="s">
        <v>269</v>
      </c>
      <c r="F68" s="13" t="s">
        <v>239</v>
      </c>
      <c r="G68" s="13" t="s">
        <v>266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CABE94-012B-45B2-81E4-4C4B9C07B4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jih3957@gmail.com</dc:creator>
  <cp:lastModifiedBy>Lucas Zi Fong</cp:lastModifiedBy>
  <dcterms:created xsi:type="dcterms:W3CDTF">2026-09-22T15:07:03Z</dcterms:created>
  <dcterms:modified xsi:type="dcterms:W3CDTF">2026-09-25T10:29:12Z</dcterms:modified>
</cp:coreProperties>
</file>